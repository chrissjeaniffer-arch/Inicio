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Resumen" sheetId="2" state="visible" r:id="rId4"/>
    <sheet name="Matriz maestra" sheetId="3" state="visible" r:id="rId5"/>
    <sheet name="Dependencias" sheetId="4" state="visible" r:id="rId6"/>
    <sheet name="Importar a Project" sheetId="5" state="visible" r:id="rId7"/>
    <sheet name="Validación diagnóstico" sheetId="6" state="visible" r:id="rId8"/>
    <sheet name="Alternativas" sheetId="7" state="visible" r:id="rId9"/>
    <sheet name="Escenarios" sheetId="8" state="visible" r:id="rId10"/>
    <sheet name="Hitos de integración" sheetId="9" state="visible" r:id="rId11"/>
    <sheet name="Evaluación transversal" sheetId="10" state="visible" r:id="rId12"/>
    <sheet name="Plan de acción" sheetId="11" state="visible" r:id="rId13"/>
    <sheet name="Decisiones" sheetId="12" state="visible" r:id="rId14"/>
    <sheet name="Antes y después" sheetId="13" state="visible" r:id="rId15"/>
  </sheets>
  <definedNames>
    <definedName function="false" hidden="true" localSheetId="6" name="_xlnm._FilterDatabase" vbProcedure="false">Alternativas!$A$2:$M$19</definedName>
    <definedName function="false" hidden="true" localSheetId="12" name="_xlnm._FilterDatabase" vbProcedure="false">'Antes y después'!$A$2:$F$23</definedName>
    <definedName function="false" hidden="true" localSheetId="11" name="_xlnm._FilterDatabase" vbProcedure="false">Decisiones!$A$2:$I$11</definedName>
    <definedName function="false" hidden="true" localSheetId="3" name="_xlnm._FilterDatabase" vbProcedure="false">Dependencias!$A$2:$K$89</definedName>
    <definedName function="false" hidden="true" localSheetId="7" name="_xlnm._FilterDatabase" vbProcedure="false">Escenarios!$A$2:$D$9</definedName>
    <definedName function="false" hidden="true" localSheetId="9" name="_xlnm._FilterDatabase" vbProcedure="false">'Evaluación transversal'!$A$2:$C$10</definedName>
    <definedName function="false" hidden="true" localSheetId="8" name="_xlnm._FilterDatabase" vbProcedure="false">'Hitos de integración'!$A$2:$H$9</definedName>
    <definedName function="false" hidden="true" localSheetId="4" name="_xlnm._FilterDatabase" vbProcedure="false">'Importar a Project'!$A$2:$L$43</definedName>
    <definedName function="false" hidden="true" localSheetId="2" name="_xlnm._FilterDatabase" vbProcedure="false">'Matriz maestra'!$A$2:$T$43</definedName>
    <definedName function="false" hidden="true" localSheetId="10" name="_xlnm._FilterDatabase" vbProcedure="false">'Plan de acción'!$A$2:$H$22</definedName>
    <definedName function="false" hidden="true" localSheetId="5" name="_xlnm._FilterDatabase" vbProcedure="false">'Validación diagnóstico'!$A$2:$G$26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<sst xmlns="http://schemas.openxmlformats.org/spreadsheetml/2006/main" count="2602" uniqueCount="998">
  <si>
    <t xml:space="preserve">Matriz Maestra de Reprogramación – Cronograma Integrado AFSP</t>
  </si>
  <si>
    <t xml:space="preserve">Propuesta técnica de solución · Escenario 2 (Integración optimizada) · Corte del .mpp: 21/10/2026</t>
  </si>
  <si>
    <t xml:space="preserve">Cómo usar este libro</t>
  </si>
  <si>
    <t xml:space="preserve">1. «Matriz maestra»: actividades que cambian, con fechas actuales y propuestas. Filtre por sistema, macroproceso, prioridad, responsable o estado.</t>
  </si>
  <si>
    <t xml:space="preserve">2. «Dependencias»: predecesoras y sucesoras propuestas para Microsoft Project, con la holgura verificada.</t>
  </si>
  <si>
    <t xml:space="preserve">3. «Importar a Project»: filas listas para cargar. También se entrega un archivo XML que Microsoft Project abre directamente.</t>
  </si>
  <si>
    <t xml:space="preserve">4. «Validación diagnóstico», «Alternativas», «Escenarios», «Hitos», «Plan de acción», «Decisiones» y «Antes y después» sustentan la propuesta.</t>
  </si>
  <si>
    <t xml:space="preserve">Celdas editables</t>
  </si>
  <si>
    <t xml:space="preserve">En «Matriz maestra», los CAF pueden ajustar las columnas en amarillo: Inicio propuesto, Fin propuesto, Prioridad, Responsable y Estado de la fecha. La variación se recalcula sola.</t>
  </si>
  <si>
    <t xml:space="preserve">Estados de la fecha</t>
  </si>
  <si>
    <t xml:space="preserve">Calculada: obtenida con el calendario del .mpp y la red de vínculos.   Tentativa: requiere validar capacidad del CAF.   Pendiente de decisión: depende de una decisión de la Coordinación o la UCP.</t>
  </si>
  <si>
    <t xml:space="preserve">Advertencias</t>
  </si>
  <si>
    <t xml:space="preserve">• Las fechas son de diseño funcional (MFD). La construcción del software (C3) no está programada en el .mpp, por lo que los hitos de software no son verificables.</t>
  </si>
  <si>
    <t xml:space="preserve">• El archivo .mpp original no fue modificado. La hoja «Importar a Project» y el XML son la propuesta para que la PMO la cargue.</t>
  </si>
  <si>
    <t xml:space="preserve">• Duraciones en días hábiles (calendario «Estándar» del .mpp: lunes a viernes, sin feriados registrados). Variaciones en días calendario.</t>
  </si>
  <si>
    <t xml:space="preserve">• Las tareas nuevas usan códigos N# (tareas), M# (entregas parciales) y H# (hitos de integración).</t>
  </si>
  <si>
    <t xml:space="preserve">Resumen de la reprogramación (se actualiza con la Matriz maestra)</t>
  </si>
  <si>
    <t xml:space="preserve">Sistema</t>
  </si>
  <si>
    <t xml:space="preserve">Actividades</t>
  </si>
  <si>
    <t xml:space="preserve">Prioridad alta</t>
  </si>
  <si>
    <t xml:space="preserve">Calculadas</t>
  </si>
  <si>
    <t xml:space="preserve">Tentativas</t>
  </si>
  <si>
    <t xml:space="preserve">Pendientes de decisión</t>
  </si>
  <si>
    <t xml:space="preserve">Mayor variación de fin (días)</t>
  </si>
  <si>
    <t xml:space="preserve">Presupuesto</t>
  </si>
  <si>
    <t xml:space="preserve">Inversiones</t>
  </si>
  <si>
    <t xml:space="preserve">Abastecimiento</t>
  </si>
  <si>
    <t xml:space="preserve">GFRH</t>
  </si>
  <si>
    <t xml:space="preserve">Tesorería</t>
  </si>
  <si>
    <t xml:space="preserve">Endeudamiento</t>
  </si>
  <si>
    <t xml:space="preserve">Contabilidad</t>
  </si>
  <si>
    <t xml:space="preserve">Transversal</t>
  </si>
  <si>
    <t xml:space="preserve">Total</t>
  </si>
  <si>
    <t xml:space="preserve">Nota: la columna «Mayor variación de fin» considera solo actividades existentes con fecha actual. Las tareas nuevas no tienen variación.</t>
  </si>
  <si>
    <t xml:space="preserve">Actividades que requieren modificación (Escenario 2). Columnas amarillas editables; la variación se recalcula. Filtros activos en el encabezado.</t>
  </si>
  <si>
    <t xml:space="preserve">ID Project / código</t>
  </si>
  <si>
    <t xml:space="preserve">Macroproceso</t>
  </si>
  <si>
    <t xml:space="preserve">Actividad</t>
  </si>
  <si>
    <t xml:space="preserve">Tipo de cambio</t>
  </si>
  <si>
    <t xml:space="preserve">Inicio actual</t>
  </si>
  <si>
    <t xml:space="preserve">Fin actual</t>
  </si>
  <si>
    <t xml:space="preserve">Inicio propuesto</t>
  </si>
  <si>
    <t xml:space="preserve">Fin propuesto</t>
  </si>
  <si>
    <t xml:space="preserve">Variación inicio (días)</t>
  </si>
  <si>
    <t xml:space="preserve">Variación fin (días)</t>
  </si>
  <si>
    <t xml:space="preserve">Duración propuesta (días háb.)</t>
  </si>
  <si>
    <t xml:space="preserve">Predecesoras propuestas</t>
  </si>
  <si>
    <t xml:space="preserve">Sucesoras</t>
  </si>
  <si>
    <t xml:space="preserve">Caso</t>
  </si>
  <si>
    <t xml:space="preserve">Prioridad</t>
  </si>
  <si>
    <t xml:space="preserve">Responsable (CAF)</t>
  </si>
  <si>
    <t xml:space="preserve">Estado de la fecha</t>
  </si>
  <si>
    <t xml:space="preserve">Escenario</t>
  </si>
  <si>
    <t xml:space="preserve">Justificación</t>
  </si>
  <si>
    <t xml:space="preserve">M1</t>
  </si>
  <si>
    <t xml:space="preserve">Gestión</t>
  </si>
  <si>
    <t xml:space="preserve">Hito: interfaz de contrato, OC y OS aprobada (entrega parcial de 196)</t>
  </si>
  <si>
    <t xml:space="preserve">Hito</t>
  </si>
  <si>
    <t xml:space="preserve">196CC+32 días</t>
  </si>
  <si>
    <t xml:space="preserve">181</t>
  </si>
  <si>
    <t xml:space="preserve">C2</t>
  </si>
  <si>
    <t xml:space="preserve">Alta</t>
  </si>
  <si>
    <t xml:space="preserve">CAF Abastecimiento</t>
  </si>
  <si>
    <t xml:space="preserve">Tentativa</t>
  </si>
  <si>
    <t xml:space="preserve">E2</t>
  </si>
  <si>
    <t xml:space="preserve">Entrega parcial de 196: estructura de datos del contrato y de la orden, suficiente para diseñar el compromiso.</t>
  </si>
  <si>
    <t xml:space="preserve">M2</t>
  </si>
  <si>
    <t xml:space="preserve">Hito: interfaz de Conformidad aprobada (entrega parcial de 197)</t>
  </si>
  <si>
    <t xml:space="preserve">197CC+42 días</t>
  </si>
  <si>
    <t xml:space="preserve">N3</t>
  </si>
  <si>
    <t xml:space="preserve">Entrega parcial de 197: datos de la conformidad que habilitan el devengado.</t>
  </si>
  <si>
    <t xml:space="preserve">M5</t>
  </si>
  <si>
    <t xml:space="preserve">Clasificadores y Catálogos</t>
  </si>
  <si>
    <t xml:space="preserve">Hito: estructura del Catálogo relacional Deuda–Inversión aprobada</t>
  </si>
  <si>
    <t xml:space="preserve">82CC+20 días</t>
  </si>
  <si>
    <t xml:space="preserve">149, 257</t>
  </si>
  <si>
    <t xml:space="preserve">C5</t>
  </si>
  <si>
    <t xml:space="preserve">CAF Endeudamiento + CAF Inversiones</t>
  </si>
  <si>
    <t xml:space="preserve">Entrega parcial de 82 que necesitan 149 y 256.</t>
  </si>
  <si>
    <t xml:space="preserve">M8</t>
  </si>
  <si>
    <t xml:space="preserve">Programación</t>
  </si>
  <si>
    <t xml:space="preserve">Hito: proyección preliminar del servicio de deuda para la Formulación</t>
  </si>
  <si>
    <t xml:space="preserve">168FF-10 días</t>
  </si>
  <si>
    <t xml:space="preserve">144</t>
  </si>
  <si>
    <t xml:space="preserve">C4</t>
  </si>
  <si>
    <t xml:space="preserve">CAF Endeudamiento</t>
  </si>
  <si>
    <t xml:space="preserve">Versión preliminar de 167/169 para que la Formulación (144) cierre con el dato de deuda. Se mantiene la restricción de 165 y 170.</t>
  </si>
  <si>
    <t xml:space="preserve">147</t>
  </si>
  <si>
    <t xml:space="preserve">Elaboración de la PMI y PMIE</t>
  </si>
  <si>
    <t xml:space="preserve">Reactivar y extender</t>
  </si>
  <si>
    <t xml:space="preserve">149</t>
  </si>
  <si>
    <t xml:space="preserve">CAF Inversiones</t>
  </si>
  <si>
    <t xml:space="preserve">Pendiente de decisión</t>
  </si>
  <si>
    <t xml:space="preserve">Sale de StandBy el 2026-11-02; le quedan unos 25 días (38 % de 65). Es predecesora de 149.</t>
  </si>
  <si>
    <t xml:space="preserve">Registro estructura del Proyecto y su relación con la Estructura Presupuestaria</t>
  </si>
  <si>
    <t xml:space="preserve">Mover</t>
  </si>
  <si>
    <t xml:space="preserve">147FC; M5FC</t>
  </si>
  <si>
    <t xml:space="preserve">150, H2</t>
  </si>
  <si>
    <t xml:space="preserve">Empieza cuando la PMI esté aprobada (147). Conserva su duración.</t>
  </si>
  <si>
    <t xml:space="preserve">46</t>
  </si>
  <si>
    <t xml:space="preserve">Catálogo de relación Estructura Funcional Programática - EFP</t>
  </si>
  <si>
    <t xml:space="preserve">Regularizar cierre</t>
  </si>
  <si>
    <t xml:space="preserve">M3</t>
  </si>
  <si>
    <t xml:space="preserve">CAF Presupuesto</t>
  </si>
  <si>
    <t xml:space="preserve">Calculada</t>
  </si>
  <si>
    <t xml:space="preserve">Vencida al 99 %. Se fija el cierre formal del MFD para que pueda usarse como insumo.</t>
  </si>
  <si>
    <t xml:space="preserve">62</t>
  </si>
  <si>
    <t xml:space="preserve">Gestor de responsables (responsables por equipo)</t>
  </si>
  <si>
    <t xml:space="preserve">25</t>
  </si>
  <si>
    <t xml:space="preserve">Catálogo de Finalidades / Sub actividad</t>
  </si>
  <si>
    <t xml:space="preserve">59</t>
  </si>
  <si>
    <t xml:space="preserve">Catálogo de equipo de trabajo</t>
  </si>
  <si>
    <t xml:space="preserve">60</t>
  </si>
  <si>
    <t xml:space="preserve">Catálogo criterio de conformación</t>
  </si>
  <si>
    <t xml:space="preserve">63</t>
  </si>
  <si>
    <t xml:space="preserve">Catálogo de Grupo de Trabajo</t>
  </si>
  <si>
    <t xml:space="preserve">Hito: versión mínima de catálogos para Programación (estructura aprobada)</t>
  </si>
  <si>
    <t xml:space="preserve">46FC; 65FC; 66FC; 129FC; 130FC; 131FC; 128CC+40 días; 132CC+40 días</t>
  </si>
  <si>
    <t xml:space="preserve">144, H1</t>
  </si>
  <si>
    <t xml:space="preserve">Estructura (atributos y relaciones) aprobada de 46, 47, 65, 66 y 128–132. El poblado completo puede seguir después.</t>
  </si>
  <si>
    <t xml:space="preserve">M4</t>
  </si>
  <si>
    <t xml:space="preserve">Hito: estructura de metas v1 aprobada (entrega parcial de 140)</t>
  </si>
  <si>
    <t xml:space="preserve">140CC+30 días</t>
  </si>
  <si>
    <t xml:space="preserve">La Formulación (144) cierra su MFD con la estructura de metas; el Administrador de Metas (140) se completa para la Apertura.</t>
  </si>
  <si>
    <t xml:space="preserve">N2</t>
  </si>
  <si>
    <t xml:space="preserve">Certificación y modelo común de datos del gasto (certificación, compromiso y devengado)</t>
  </si>
  <si>
    <t xml:space="preserve">Nueva tarea</t>
  </si>
  <si>
    <t xml:space="preserve">195, 181, 182, 236, 234</t>
  </si>
  <si>
    <t xml:space="preserve">CAF Presupuesto + CAF Abastecimiento + CAF Tesorería</t>
  </si>
  <si>
    <t xml:space="preserve">Las Actuaciones preparatorias (195) requieren la certificación de crédito, y Pagos (234, 236) requiere el modelo del devengado. Duración igual a la de la fila 181 (45 días).</t>
  </si>
  <si>
    <t xml:space="preserve">Compromiso de gastos de bienes, servicios y obras</t>
  </si>
  <si>
    <t xml:space="preserve">Mover y renombrar</t>
  </si>
  <si>
    <t xml:space="preserve">N2FC; M1FC; 175FC; 176FC</t>
  </si>
  <si>
    <t xml:space="preserve">N3, H4</t>
  </si>
  <si>
    <t xml:space="preserve">Se diseña con la interfaz de la orden (M1) aprobada. Conserva su duración (45 días).</t>
  </si>
  <si>
    <t xml:space="preserve">Devengado de gastos de bienes, servicios y obras</t>
  </si>
  <si>
    <t xml:space="preserve">M2FC; 181FC</t>
  </si>
  <si>
    <t xml:space="preserve">N5, 369, H4</t>
  </si>
  <si>
    <t xml:space="preserve">CAF Presupuesto + CAF Abastecimiento</t>
  </si>
  <si>
    <t xml:space="preserve">Separa el devengado del compromiso para alinearlo con la Conformidad (197).</t>
  </si>
  <si>
    <t xml:space="preserve">M9</t>
  </si>
  <si>
    <t xml:space="preserve">Hito: estimación preliminar de ingresos por OOC, RO y RD para la Formulación</t>
  </si>
  <si>
    <t xml:space="preserve">160FF-10 días</t>
  </si>
  <si>
    <t xml:space="preserve">CAF Tesorería</t>
  </si>
  <si>
    <t xml:space="preserve">Versión preliminar de 160 para la Formulación (144).</t>
  </si>
  <si>
    <t xml:space="preserve">N1</t>
  </si>
  <si>
    <t xml:space="preserve">Asignación de pago – versión mínima (cuota de pago v1 con reglas vigentes)</t>
  </si>
  <si>
    <t xml:space="preserve">161FC</t>
  </si>
  <si>
    <t xml:space="preserve">236, 234, 235, 233</t>
  </si>
  <si>
    <t xml:space="preserve">C1</t>
  </si>
  <si>
    <t xml:space="preserve">Habilita los pagos que se diseñan desde el 16/06/2027 (236) usando los flujos de caja proyectados (161). Se conserva la duración de la fila 163 (23 días).</t>
  </si>
  <si>
    <t xml:space="preserve">N5</t>
  </si>
  <si>
    <t xml:space="preserve">Evaluación</t>
  </si>
  <si>
    <t xml:space="preserve">Adecuación de cierres y estados presupuestales a las fuentes AFSP</t>
  </si>
  <si>
    <t xml:space="preserve">N3FC</t>
  </si>
  <si>
    <t xml:space="preserve">363</t>
  </si>
  <si>
    <t xml:space="preserve">C3</t>
  </si>
  <si>
    <t xml:space="preserve">Media</t>
  </si>
  <si>
    <t xml:space="preserve">CAF Contabilidad + CAF Presupuesto</t>
  </si>
  <si>
    <t xml:space="preserve">Escenario A: los cierres de 2026–2027 usan el SIAF-SP (integración 344 concluida). Esta tarea adapta 355, 358, 359 y 360 cuando exista la ejecución AFSP, antes de la Cuenta General (363).</t>
  </si>
  <si>
    <t xml:space="preserve">N6</t>
  </si>
  <si>
    <t xml:space="preserve">Actualización 3 de Catálogo de Eventos y Motor de Contabilización</t>
  </si>
  <si>
    <t xml:space="preserve">347FC</t>
  </si>
  <si>
    <t xml:space="preserve">N7</t>
  </si>
  <si>
    <t xml:space="preserve">C6</t>
  </si>
  <si>
    <t xml:space="preserve">CAF Contabilidad + CAF Endeudamiento</t>
  </si>
  <si>
    <t xml:space="preserve">Cubre los eventos de Endeudamiento etapa 2 y de Abastecimiento diseñados entre oct 2028 y mar 2029.</t>
  </si>
  <si>
    <t xml:space="preserve">Actualización 4 de Catálogo de Eventos y Motor de Contabilización</t>
  </si>
  <si>
    <t xml:space="preserve">N6FC; 296FF</t>
  </si>
  <si>
    <t xml:space="preserve">N10, H7</t>
  </si>
  <si>
    <t xml:space="preserve">CAF Contabilidad + CAF Endeudamiento + CAF Abastecimiento</t>
  </si>
  <si>
    <t xml:space="preserve">Cierra la cobertura contable de los procesos diseñados hasta dic 2029; termina con el proyecto (FF con 296).</t>
  </si>
  <si>
    <t xml:space="preserve">N10</t>
  </si>
  <si>
    <t xml:space="preserve">Validación de la integración Gestión 2028–2029 con Cuenta General y Estadísticas de Finanzas Públicas</t>
  </si>
  <si>
    <t xml:space="preserve">363FC; N7FF</t>
  </si>
  <si>
    <t xml:space="preserve">H7</t>
  </si>
  <si>
    <t xml:space="preserve">C7</t>
  </si>
  <si>
    <t xml:space="preserve">Evaluación termina en 2028, pero Endeudamiento y Abastecimiento diseñan hasta 2029: se valida que sus datos lleguen a 363 y 364.</t>
  </si>
  <si>
    <t xml:space="preserve">81</t>
  </si>
  <si>
    <t xml:space="preserve">Catálogo GFRH por definir (antes «&lt;Tarea nueva&gt;»)</t>
  </si>
  <si>
    <t xml:space="preserve">Reprogramar por avance real</t>
  </si>
  <si>
    <t xml:space="preserve">Calidad</t>
  </si>
  <si>
    <t xml:space="preserve">CAF GFRH</t>
  </si>
  <si>
    <t xml:space="preserve">Debió iniciar antes del corte y sigue en 0 %. Se mueve el inicio al corte y se conserva la duración.</t>
  </si>
  <si>
    <t xml:space="preserve">M6</t>
  </si>
  <si>
    <t xml:space="preserve">Hito: interfaz planilla–compromiso–devengado–pago validada con GFRH</t>
  </si>
  <si>
    <t xml:space="preserve">182CC+40 días</t>
  </si>
  <si>
    <t xml:space="preserve">CAF GFRH + CAF Presupuesto + CAF Tesorería</t>
  </si>
  <si>
    <t xml:space="preserve">GFRH concluyó su diseño en 2026; se valida su interfaz dentro de la Ejecución de gestión fiscal (182).</t>
  </si>
  <si>
    <t xml:space="preserve">48</t>
  </si>
  <si>
    <t xml:space="preserve">Clasificador de Recursos hidricos y saneamiento</t>
  </si>
  <si>
    <t xml:space="preserve">51</t>
  </si>
  <si>
    <t xml:space="preserve">Clasificador de Enfoque de Género</t>
  </si>
  <si>
    <t xml:space="preserve">130</t>
  </si>
  <si>
    <t xml:space="preserve">Catálogo Actividades (Versión 2)</t>
  </si>
  <si>
    <t xml:space="preserve">N4</t>
  </si>
  <si>
    <t xml:space="preserve">Actualización del MFD de Formulación para proyectos de inversión (Formulación v2)</t>
  </si>
  <si>
    <t xml:space="preserve">150FC; 144FC</t>
  </si>
  <si>
    <t xml:space="preserve">CAF Presupuesto + CAF Inversiones</t>
  </si>
  <si>
    <t xml:space="preserve">Incorpora al MFD de Formulación (144) el presupuesto por proyecto diseñado en 150, en lugar de adelantar 150.</t>
  </si>
  <si>
    <t xml:space="preserve">186</t>
  </si>
  <si>
    <t xml:space="preserve">Ejecución de gastos de operaciones de endeudamiento</t>
  </si>
  <si>
    <t xml:space="preserve">270FF; 272FF</t>
  </si>
  <si>
    <t xml:space="preserve">CAF Presupuesto + CAF Endeudamiento</t>
  </si>
  <si>
    <t xml:space="preserve">Debe cerrar junto con las instrucciones de pago de deuda (270 y 272). Conserva su duración.</t>
  </si>
  <si>
    <t xml:space="preserve">250</t>
  </si>
  <si>
    <t xml:space="preserve">Traspasos entre cuentas de registros</t>
  </si>
  <si>
    <t xml:space="preserve">251</t>
  </si>
  <si>
    <t xml:space="preserve">Gestión de Documentos Valorados</t>
  </si>
  <si>
    <t xml:space="preserve">163</t>
  </si>
  <si>
    <t xml:space="preserve">Asignación de pago – versión 2 (incorpora flujos de caja diarios)</t>
  </si>
  <si>
    <t xml:space="preserve">Sin cambio de fechas (pasa a v2)</t>
  </si>
  <si>
    <t xml:space="preserve">162FC</t>
  </si>
  <si>
    <t xml:space="preserve">Se mantiene en mayo de 2028 como versión completa; ya no bloquea a los pagos de 2027.</t>
  </si>
  <si>
    <t xml:space="preserve">N11</t>
  </si>
  <si>
    <t xml:space="preserve">Revisión de catálogos de almacén antes de Logística (versión 2)</t>
  </si>
  <si>
    <t xml:space="preserve">204</t>
  </si>
  <si>
    <t xml:space="preserve">Baja</t>
  </si>
  <si>
    <t xml:space="preserve">Los catálogos 70–74 se cerraron en 2026 y se usan desde 2029: se revisan antes del diseño de almacén.</t>
  </si>
  <si>
    <t xml:space="preserve">H1</t>
  </si>
  <si>
    <t xml:space="preserve">Integración</t>
  </si>
  <si>
    <t xml:space="preserve">H1 · Clasificadores y Catálogos (versión mínima) disponibles para Programación</t>
  </si>
  <si>
    <t xml:space="preserve">M3FC</t>
  </si>
  <si>
    <t xml:space="preserve">Hitos</t>
  </si>
  <si>
    <t xml:space="preserve">Coordinación del Proyecto</t>
  </si>
  <si>
    <t xml:space="preserve">Hito de aprobación del diseño funcional integrado (MFD).</t>
  </si>
  <si>
    <t xml:space="preserve">H2</t>
  </si>
  <si>
    <t xml:space="preserve">H2 · Programación integrada entre sistemas</t>
  </si>
  <si>
    <t xml:space="preserve">149FC; 145FC; 169FC; 160FC; 153FC; 138FC</t>
  </si>
  <si>
    <t xml:space="preserve">H3</t>
  </si>
  <si>
    <t xml:space="preserve">H3 · Programación y Gestión articuladas (Apertura y cuotas)</t>
  </si>
  <si>
    <t xml:space="preserve">173FC; 175FC; 176FC</t>
  </si>
  <si>
    <t xml:space="preserve">H4</t>
  </si>
  <si>
    <t xml:space="preserve">H4 · Ciclo certificación–compromiso–devengado–pago integrado (diseño)</t>
  </si>
  <si>
    <t xml:space="preserve">N3FC; 236FC; 234FC; 181FC</t>
  </si>
  <si>
    <t xml:space="preserve">H6</t>
  </si>
  <si>
    <t xml:space="preserve">H6 · Gestión y Evaluación articuladas</t>
  </si>
  <si>
    <t xml:space="preserve">363FC; 373FC; 352FC</t>
  </si>
  <si>
    <t xml:space="preserve">H5</t>
  </si>
  <si>
    <t xml:space="preserve">H5 · Gestión y Contabilidad articuladas (motor contable v2)</t>
  </si>
  <si>
    <t xml:space="preserve">H7 · Integración funcional completa de los siete sistemas (diseño)</t>
  </si>
  <si>
    <t xml:space="preserve">N7FC; N10FC; 296FC</t>
  </si>
  <si>
    <t xml:space="preserve">87 vínculos propuestos. FC = Fin–Comienzo · CC = Comienzo–Comienzo · FF = Fin–Fin. Verificación: 0 conflictos y 0 ciclos con las fechas propuestas.</t>
  </si>
  <si>
    <t xml:space="preserve">ID origen</t>
  </si>
  <si>
    <t xml:space="preserve">Actividad predecesora</t>
  </si>
  <si>
    <t xml:space="preserve">ID destino</t>
  </si>
  <si>
    <t xml:space="preserve">Actividad sucesora</t>
  </si>
  <si>
    <t xml:space="preserve">Tipo de relación</t>
  </si>
  <si>
    <t xml:space="preserve">Desfase (días háb.)</t>
  </si>
  <si>
    <t xml:space="preserve">Holgura verificada (días háb.)</t>
  </si>
  <si>
    <t xml:space="preserve">Cumple con las fechas propuestas</t>
  </si>
  <si>
    <t xml:space="preserve">Validación requerida</t>
  </si>
  <si>
    <t xml:space="preserve">Ref. diagnóstico</t>
  </si>
  <si>
    <t xml:space="preserve">161</t>
  </si>
  <si>
    <t xml:space="preserve">Flujos de caja proyectados mensual, trimestrales, anuales (estimación de egresos)</t>
  </si>
  <si>
    <t xml:space="preserve">FC</t>
  </si>
  <si>
    <t xml:space="preserve">Sí</t>
  </si>
  <si>
    <t xml:space="preserve">La cuota v1 se calcula con los flujos de caja proyectados.</t>
  </si>
  <si>
    <t xml:space="preserve">D1</t>
  </si>
  <si>
    <t xml:space="preserve">236</t>
  </si>
  <si>
    <t xml:space="preserve">Gestión de pagos con medio de Pago Entre CUT</t>
  </si>
  <si>
    <t xml:space="preserve">Los pagos entre CUT requieren la cuota de pago.</t>
  </si>
  <si>
    <t xml:space="preserve">234</t>
  </si>
  <si>
    <t xml:space="preserve">Operativización del Pago con Entidades Financieras y confirmación de la recepción de fondos (pagado)</t>
  </si>
  <si>
    <t xml:space="preserve">La operativización del pago requiere la cuota de pago.</t>
  </si>
  <si>
    <t xml:space="preserve">235</t>
  </si>
  <si>
    <t xml:space="preserve">Gestion de Pago por medio de pago transferencia</t>
  </si>
  <si>
    <t xml:space="preserve">El pago por transferencia requiere la cuota de pago.</t>
  </si>
  <si>
    <t xml:space="preserve">233</t>
  </si>
  <si>
    <t xml:space="preserve">Gestión de Pago por Medio de pago Cheque</t>
  </si>
  <si>
    <t xml:space="preserve">El pago con cheque requiere la cuota de pago.</t>
  </si>
  <si>
    <t xml:space="preserve">162</t>
  </si>
  <si>
    <t xml:space="preserve">Flujos de Caja Diarios (Insumo para la asignación de Cuotas de Pago)</t>
  </si>
  <si>
    <t xml:space="preserve">Los flujos diarios parten de los proyectados.</t>
  </si>
  <si>
    <t xml:space="preserve">La cuota v2 incorpora los flujos de caja diarios.</t>
  </si>
  <si>
    <t xml:space="preserve">195</t>
  </si>
  <si>
    <t xml:space="preserve">Actuaciones preparatorias</t>
  </si>
  <si>
    <t xml:space="preserve">FF</t>
  </si>
  <si>
    <t xml:space="preserve">Las Actuaciones preparatorias no cierran su MFD sin la certificación de crédito.</t>
  </si>
  <si>
    <t xml:space="preserve">CAF Presupuesto y CAF Abastecimiento</t>
  </si>
  <si>
    <t xml:space="preserve">D23 (nueva)</t>
  </si>
  <si>
    <t xml:space="preserve">El compromiso usa el modelo común de datos del gasto.</t>
  </si>
  <si>
    <t xml:space="preserve">D2</t>
  </si>
  <si>
    <t xml:space="preserve">182</t>
  </si>
  <si>
    <t xml:space="preserve">Ejecución de gastos de gestión fiscal</t>
  </si>
  <si>
    <t xml:space="preserve">La ejecución de gestión fiscal usa el modelo común de datos.</t>
  </si>
  <si>
    <t xml:space="preserve">Los pagos usan el modelo del devengado.</t>
  </si>
  <si>
    <t xml:space="preserve">CAF Tesorería y CAF Presupuesto</t>
  </si>
  <si>
    <t xml:space="preserve">D24 (nueva)</t>
  </si>
  <si>
    <t xml:space="preserve">196</t>
  </si>
  <si>
    <t xml:space="preserve">Generación de contrato, orden de compra y orden de servicio</t>
  </si>
  <si>
    <t xml:space="preserve">CC</t>
  </si>
  <si>
    <t xml:space="preserve">Entrega parcial de 196 a 32 días de su inicio.</t>
  </si>
  <si>
    <t xml:space="preserve">El compromiso se diseña con la interfaz de la orden aprobada.</t>
  </si>
  <si>
    <t xml:space="preserve">175</t>
  </si>
  <si>
    <t xml:space="preserve">Solicitud de Cuotas de Compromiso Nivel AU-UE-Pliegos</t>
  </si>
  <si>
    <t xml:space="preserve">El compromiso requiere las cuotas de compromiso.</t>
  </si>
  <si>
    <t xml:space="preserve">D20</t>
  </si>
  <si>
    <t xml:space="preserve">176</t>
  </si>
  <si>
    <t xml:space="preserve">Asignación de Cuotas de Compromiso-Nivel DGGP-MEF</t>
  </si>
  <si>
    <t xml:space="preserve">El compromiso requiere la asignación de cuotas.</t>
  </si>
  <si>
    <t xml:space="preserve">197</t>
  </si>
  <si>
    <t xml:space="preserve">Conformidad</t>
  </si>
  <si>
    <t xml:space="preserve">Entrega parcial de 197 a 42 días de su inicio.</t>
  </si>
  <si>
    <t xml:space="preserve">D3</t>
  </si>
  <si>
    <t xml:space="preserve">El devengado se diseña con la interfaz de Conformidad aprobada.</t>
  </si>
  <si>
    <t xml:space="preserve">El devengado sigue al compromiso.</t>
  </si>
  <si>
    <t xml:space="preserve">270</t>
  </si>
  <si>
    <t xml:space="preserve">Preparación, emisión y autorizaciones de Instrucciones para el pago Deuda externa</t>
  </si>
  <si>
    <t xml:space="preserve">La ejecución de gastos de deuda cierra con las instrucciones de pago de deuda externa.</t>
  </si>
  <si>
    <t xml:space="preserve">CAF Presupuesto y CAF Endeudamiento</t>
  </si>
  <si>
    <t xml:space="preserve">D12</t>
  </si>
  <si>
    <t xml:space="preserve">272</t>
  </si>
  <si>
    <t xml:space="preserve">Procedimiento: Actualización del abono por pago de deuda</t>
  </si>
  <si>
    <t xml:space="preserve">La ejecución de gastos de deuda cierra con las instrucciones de pago de deuda interna.</t>
  </si>
  <si>
    <t xml:space="preserve">La adecuación contable se hace sobre la ejecución AFSP diseñada.</t>
  </si>
  <si>
    <t xml:space="preserve">CAF Contabilidad</t>
  </si>
  <si>
    <t xml:space="preserve">D4</t>
  </si>
  <si>
    <t xml:space="preserve">Elaborar, presentar y aprobar la Cuenta General de la República</t>
  </si>
  <si>
    <t xml:space="preserve">La Cuenta General usa cierres adecuados.</t>
  </si>
  <si>
    <t xml:space="preserve">D4/D5</t>
  </si>
  <si>
    <t xml:space="preserve">369</t>
  </si>
  <si>
    <t xml:space="preserve">Generación automática del informe Global de la Gestión Presupuestaria</t>
  </si>
  <si>
    <t xml:space="preserve">El informe global de gestión presupuestaria cierra después del devengado.</t>
  </si>
  <si>
    <t xml:space="preserve">D13</t>
  </si>
  <si>
    <t xml:space="preserve">347</t>
  </si>
  <si>
    <t xml:space="preserve">Actualización 2 de Catálogo de Eventos y Motor de Contabilización</t>
  </si>
  <si>
    <t xml:space="preserve">Secuencia de actualizaciones del motor contable.</t>
  </si>
  <si>
    <t xml:space="preserve">D6</t>
  </si>
  <si>
    <t xml:space="preserve">296</t>
  </si>
  <si>
    <t xml:space="preserve">Registro manual de cronograma de servicio</t>
  </si>
  <si>
    <t xml:space="preserve">El motor cierra junto con el último proceso de Endeudamiento.</t>
  </si>
  <si>
    <t xml:space="preserve">CAF Contabilidad y CAF Endeudamiento</t>
  </si>
  <si>
    <t xml:space="preserve">La validación usa la Cuenta General diseñada.</t>
  </si>
  <si>
    <t xml:space="preserve">Caso 7</t>
  </si>
  <si>
    <t xml:space="preserve">La validación cierra con la última actualización del motor.</t>
  </si>
  <si>
    <t xml:space="preserve">El registro de proyectos parte de la PMI aprobada.</t>
  </si>
  <si>
    <t xml:space="preserve">D11</t>
  </si>
  <si>
    <t xml:space="preserve">El registro de proyectos usa la relación deuda–inversión.</t>
  </si>
  <si>
    <t xml:space="preserve">D14</t>
  </si>
  <si>
    <t xml:space="preserve">257</t>
  </si>
  <si>
    <t xml:space="preserve">Procedimiento: Administración de Techos de Endeudamiento (Ley del SNE)</t>
  </si>
  <si>
    <t xml:space="preserve">La concertación usa la relación deuda–inversión.</t>
  </si>
  <si>
    <t xml:space="preserve">82</t>
  </si>
  <si>
    <t xml:space="preserve">Catálogo relacional Deuda Inversión</t>
  </si>
  <si>
    <t xml:space="preserve">Entrega parcial de 82.</t>
  </si>
  <si>
    <t xml:space="preserve">150</t>
  </si>
  <si>
    <t xml:space="preserve">Formulación Multianual del Presupuesto de cada Proyecto</t>
  </si>
  <si>
    <t xml:space="preserve">La formulación por proyecto usa la estructura registrada.</t>
  </si>
  <si>
    <t xml:space="preserve">D7</t>
  </si>
  <si>
    <t xml:space="preserve">La Formulación v2 incorpora el presupuesto por proyecto.</t>
  </si>
  <si>
    <t xml:space="preserve">CAF Presupuesto y CAF Inversiones</t>
  </si>
  <si>
    <t xml:space="preserve">Formulación del Presupuesto Público (DGPP MEF)</t>
  </si>
  <si>
    <t xml:space="preserve">La Formulación v2 parte del MFD de Formulación v1.</t>
  </si>
  <si>
    <t xml:space="preserve">Catálogo necesario para la estructura mínima de Programación.</t>
  </si>
  <si>
    <t xml:space="preserve">D10</t>
  </si>
  <si>
    <t xml:space="preserve">65</t>
  </si>
  <si>
    <t xml:space="preserve">Catálogo de Versiones de Presupuesto</t>
  </si>
  <si>
    <t xml:space="preserve">66</t>
  </si>
  <si>
    <t xml:space="preserve">Catálogo de Archivos APM</t>
  </si>
  <si>
    <t xml:space="preserve">129</t>
  </si>
  <si>
    <t xml:space="preserve">Catálogo Productos (Versión 2)</t>
  </si>
  <si>
    <t xml:space="preserve">131</t>
  </si>
  <si>
    <t xml:space="preserve">Clasificador Funcional (Versión 2)</t>
  </si>
  <si>
    <t xml:space="preserve">128</t>
  </si>
  <si>
    <t xml:space="preserve">Catálogo Programas Presupuestales (Versión 2)</t>
  </si>
  <si>
    <t xml:space="preserve">Estructura de Programas Presupuestales v2 (entrega parcial).</t>
  </si>
  <si>
    <t xml:space="preserve">132</t>
  </si>
  <si>
    <t xml:space="preserve">Catálogo de Relación Actividad por Finalidad</t>
  </si>
  <si>
    <t xml:space="preserve">Estructura de Relación Actividad por Finalidad (entrega parcial).</t>
  </si>
  <si>
    <t xml:space="preserve">La Formulación no cierra su MFD sin la estructura mínima de catálogos.</t>
  </si>
  <si>
    <t xml:space="preserve">137</t>
  </si>
  <si>
    <t xml:space="preserve">Programación Multianual Presupuestaria - Modificación de la APM</t>
  </si>
  <si>
    <t xml:space="preserve">La modificación de la APM usa el catálogo de versiones de presupuesto.</t>
  </si>
  <si>
    <t xml:space="preserve">136</t>
  </si>
  <si>
    <t xml:space="preserve">Programación Multianual Presupuestaria - Generación de Reportes de la APM</t>
  </si>
  <si>
    <t xml:space="preserve">Los reportes de la APM usan el catálogo de archivos APM.</t>
  </si>
  <si>
    <t xml:space="preserve">140</t>
  </si>
  <si>
    <t xml:space="preserve">Administrador de Metas</t>
  </si>
  <si>
    <t xml:space="preserve">Entrega parcial del Administrador de Metas.</t>
  </si>
  <si>
    <t xml:space="preserve">D8</t>
  </si>
  <si>
    <t xml:space="preserve">La Formulación cierra con la estructura de metas v1.</t>
  </si>
  <si>
    <t xml:space="preserve">173</t>
  </si>
  <si>
    <t xml:space="preserve">Apertura del Ejercicio Fiscal</t>
  </si>
  <si>
    <t xml:space="preserve">La Apertura no cierra su MFD sin el Administrador de Metas completo.</t>
  </si>
  <si>
    <t xml:space="preserve">La Apertura requiere la relación actividad–finalidad completa.</t>
  </si>
  <si>
    <t xml:space="preserve">La Apertura parte del presupuesto formulado.</t>
  </si>
  <si>
    <t xml:space="preserve">D21</t>
  </si>
  <si>
    <t xml:space="preserve">145</t>
  </si>
  <si>
    <t xml:space="preserve">Aprobación Presupuestaria</t>
  </si>
  <si>
    <t xml:space="preserve">La Apertura parte del presupuesto aprobado.</t>
  </si>
  <si>
    <t xml:space="preserve">Las cuotas se diseñan en paralelo con la Apertura.</t>
  </si>
  <si>
    <t xml:space="preserve">168</t>
  </si>
  <si>
    <t xml:space="preserve">Procedimiento: Consultas y reportes - Proyección del servicio de la deuda</t>
  </si>
  <si>
    <t xml:space="preserve">Versión preliminar de la proyección de deuda.</t>
  </si>
  <si>
    <t xml:space="preserve">D17</t>
  </si>
  <si>
    <t xml:space="preserve">La Formulación cierra con el dato de deuda.</t>
  </si>
  <si>
    <t xml:space="preserve">160</t>
  </si>
  <si>
    <t xml:space="preserve">Recursos por Operaciones Oficiales de Crédito, Recursos Ordinarios y Recursos Determinados</t>
  </si>
  <si>
    <t xml:space="preserve">Versión preliminar de la estimación de ingresos.</t>
  </si>
  <si>
    <t xml:space="preserve">D18</t>
  </si>
  <si>
    <t xml:space="preserve">La Formulación cierra con la estimación de ingresos.</t>
  </si>
  <si>
    <t xml:space="preserve">155</t>
  </si>
  <si>
    <t xml:space="preserve">Elaboración de PAC</t>
  </si>
  <si>
    <t xml:space="preserve">Las actuaciones preparatorias parten del PAC.</t>
  </si>
  <si>
    <t xml:space="preserve">D16</t>
  </si>
  <si>
    <t xml:space="preserve">153</t>
  </si>
  <si>
    <t xml:space="preserve">CMN Programación</t>
  </si>
  <si>
    <t xml:space="preserve">Las actuaciones preparatorias no cierran antes que el CMN.</t>
  </si>
  <si>
    <t xml:space="preserve">108</t>
  </si>
  <si>
    <t xml:space="preserve">Catálogos de Agregación y Consolidación Presupuestal</t>
  </si>
  <si>
    <t xml:space="preserve">356</t>
  </si>
  <si>
    <t xml:space="preserve">Consolidación presupuestal</t>
  </si>
  <si>
    <t xml:space="preserve">Solapamiento aceptado de 5 días hábiles.</t>
  </si>
  <si>
    <t xml:space="preserve">D19</t>
  </si>
  <si>
    <t xml:space="preserve">109</t>
  </si>
  <si>
    <t xml:space="preserve">Catálogos de Agregación y Consolidación Contable</t>
  </si>
  <si>
    <t xml:space="preserve">357</t>
  </si>
  <si>
    <t xml:space="preserve">Consolidación contable</t>
  </si>
  <si>
    <t xml:space="preserve">193</t>
  </si>
  <si>
    <t xml:space="preserve">Reportes especiales</t>
  </si>
  <si>
    <t xml:space="preserve">350</t>
  </si>
  <si>
    <t xml:space="preserve">Seguimiento Físico y Financiero e Indicadores de la Inversión – Indice de Desempeño</t>
  </si>
  <si>
    <t xml:space="preserve">El seguimiento de inversiones cierra después de los reportes de gestión.</t>
  </si>
  <si>
    <t xml:space="preserve">D15</t>
  </si>
  <si>
    <t xml:space="preserve">218</t>
  </si>
  <si>
    <t xml:space="preserve">Configuración y Generación de Planillas de Pagos</t>
  </si>
  <si>
    <t xml:space="preserve">La ejecución de gestión fiscal usa la planilla aprobada.</t>
  </si>
  <si>
    <t xml:space="preserve">CAF GFRH y CAF Presupuesto</t>
  </si>
  <si>
    <t xml:space="preserve">D22</t>
  </si>
  <si>
    <t xml:space="preserve">Validación de la interfaz con GFRH dentro de 182.</t>
  </si>
  <si>
    <t xml:space="preserve">Logística de entrada</t>
  </si>
  <si>
    <t xml:space="preserve">Logística de entrada usa catálogos revisados.</t>
  </si>
  <si>
    <t xml:space="preserve">Alerta 19</t>
  </si>
  <si>
    <t xml:space="preserve">Hito de integración.</t>
  </si>
  <si>
    <t xml:space="preserve">Coordinación</t>
  </si>
  <si>
    <t xml:space="preserve">169</t>
  </si>
  <si>
    <t xml:space="preserve">Consolidación de Proyección de desembolsos y servicio de deuda (Consultas y reportes - Proyección de desembolsos)</t>
  </si>
  <si>
    <t xml:space="preserve">138</t>
  </si>
  <si>
    <t xml:space="preserve">Programación Multianual Presupuestal - Pliegos y UE (Desagregación)</t>
  </si>
  <si>
    <t xml:space="preserve">373</t>
  </si>
  <si>
    <t xml:space="preserve">Elaboración del Análisis de Calidad del Gasto</t>
  </si>
  <si>
    <t xml:space="preserve">352</t>
  </si>
  <si>
    <t xml:space="preserve">Sostenibilidad</t>
  </si>
  <si>
    <t xml:space="preserve">Para la PMO: actualizar las filas con Id y crear las que solo tienen código bajo la tarea resumen indicada. Al crearlas, reemplazar los códigos N#, M# y H# de «Predecesoras» por los Id que asigne Project. Alternativa: abrir el archivo XML entregado, que ya trae todo cargado (columna «Id en el XML»).</t>
  </si>
  <si>
    <t xml:space="preserve">Id (existente)</t>
  </si>
  <si>
    <t xml:space="preserve">Código</t>
  </si>
  <si>
    <t xml:space="preserve">Id en el XML</t>
  </si>
  <si>
    <t xml:space="preserve">Nombre</t>
  </si>
  <si>
    <t xml:space="preserve">Tarea resumen sugerida (Id)</t>
  </si>
  <si>
    <t xml:space="preserve">Comienzo</t>
  </si>
  <si>
    <t xml:space="preserve">Fin</t>
  </si>
  <si>
    <t xml:space="preserve">Duración</t>
  </si>
  <si>
    <t xml:space="preserve">Predecesoras</t>
  </si>
  <si>
    <t xml:space="preserve">Modo de programación</t>
  </si>
  <si>
    <t xml:space="preserve">Notas</t>
  </si>
  <si>
    <t xml:space="preserve">142 días</t>
  </si>
  <si>
    <t xml:space="preserve">No</t>
  </si>
  <si>
    <t xml:space="preserve">Manual (validar antes de pasar a automático)</t>
  </si>
  <si>
    <t xml:space="preserve">118 días</t>
  </si>
  <si>
    <t xml:space="preserve">82 días</t>
  </si>
  <si>
    <t xml:space="preserve">106 días</t>
  </si>
  <si>
    <t xml:space="preserve">65 días</t>
  </si>
  <si>
    <t xml:space="preserve">22 días</t>
  </si>
  <si>
    <t xml:space="preserve">66 días</t>
  </si>
  <si>
    <t xml:space="preserve">55 días</t>
  </si>
  <si>
    <t xml:space="preserve">78 días</t>
  </si>
  <si>
    <t xml:space="preserve">86 días</t>
  </si>
  <si>
    <t xml:space="preserve">63 días</t>
  </si>
  <si>
    <t xml:space="preserve">0 días</t>
  </si>
  <si>
    <t xml:space="preserve">45 días</t>
  </si>
  <si>
    <t xml:space="preserve">23 días</t>
  </si>
  <si>
    <t xml:space="preserve">30 días</t>
  </si>
  <si>
    <t xml:space="preserve">40 días</t>
  </si>
  <si>
    <t xml:space="preserve">20 días</t>
  </si>
  <si>
    <t xml:space="preserve">Revisión crítica de las 22 dependencias del diagnóstico y 2 nuevas (D23, D24).</t>
  </si>
  <si>
    <t xml:space="preserve">Dependencia</t>
  </si>
  <si>
    <t xml:space="preserve">Descripción</t>
  </si>
  <si>
    <t xml:space="preserve">¿Obligatoria?</t>
  </si>
  <si>
    <t xml:space="preserve">Naturaleza</t>
  </si>
  <si>
    <t xml:space="preserve">Tratamiento</t>
  </si>
  <si>
    <t xml:space="preserve">Resultado</t>
  </si>
  <si>
    <t xml:space="preserve">Nota</t>
  </si>
  <si>
    <t xml:space="preserve">Cuota de pago (162–163) → Gestión de pagos (233–236)</t>
  </si>
  <si>
    <t xml:space="preserve">Sí (operación y diseño)</t>
  </si>
  <si>
    <t xml:space="preserve">Secuencia real</t>
  </si>
  <si>
    <t xml:space="preserve">Entrega parcial (N1) + división v1/v2</t>
  </si>
  <si>
    <t xml:space="preserve">Se corrige</t>
  </si>
  <si>
    <t xml:space="preserve">Fecha requerida 16/06/2027; brecha 350 días.</t>
  </si>
  <si>
    <t xml:space="preserve">Contrato, OC y OS (196) → compromiso de bienes y servicios (181)</t>
  </si>
  <si>
    <t xml:space="preserve">Entrega parcial (M1) + mover 181 +29 días</t>
  </si>
  <si>
    <t xml:space="preserve">Se mantiene</t>
  </si>
  <si>
    <t xml:space="preserve">Conformidad (197) → devengado de bienes y servicios</t>
  </si>
  <si>
    <t xml:space="preserve">Dividir 181 + entrega parcial (M2) + nueva N3</t>
  </si>
  <si>
    <t xml:space="preserve">Ejecución presupuestaria → Estados presupuestales y cierre (359–360)</t>
  </si>
  <si>
    <t xml:space="preserve">Depende de la fuente</t>
  </si>
  <si>
    <t xml:space="preserve">Depende de decisión</t>
  </si>
  <si>
    <t xml:space="preserve">Escenario A + adecuación N5</t>
  </si>
  <si>
    <t xml:space="preserve">Rebajada: transición con SIAF-SP.</t>
  </si>
  <si>
    <t xml:space="preserve">D5</t>
  </si>
  <si>
    <t xml:space="preserve">Gestión (ejecución, pagos, deuda) → Estados financieros (355, 358)</t>
  </si>
  <si>
    <t xml:space="preserve">Procesos 2028–2029 → motor contable (347)</t>
  </si>
  <si>
    <t xml:space="preserve">Nuevas actualizaciones 3 y 4 (N6, N7)</t>
  </si>
  <si>
    <t xml:space="preserve">Formulación por proyecto (150) → Formulación (144)</t>
  </si>
  <si>
    <t xml:space="preserve">Sí (diseño)</t>
  </si>
  <si>
    <t xml:space="preserve">Secuencia real de diseño</t>
  </si>
  <si>
    <t xml:space="preserve">Nueva Formulación v2 (N4); no se adelanta 150</t>
  </si>
  <si>
    <t xml:space="preserve">Se evita comprimir 150.</t>
  </si>
  <si>
    <t xml:space="preserve">Administrador de Metas (140) → Formulación (144)</t>
  </si>
  <si>
    <t xml:space="preserve">Parcial</t>
  </si>
  <si>
    <t xml:space="preserve">Solapamiento de diseño</t>
  </si>
  <si>
    <t xml:space="preserve">Entrega parcial (M4)</t>
  </si>
  <si>
    <t xml:space="preserve">Se retira la compresión de 140.</t>
  </si>
  <si>
    <t xml:space="preserve">D9</t>
  </si>
  <si>
    <t xml:space="preserve">Clasificadores temáticos (49–50) → Formulación (144)</t>
  </si>
  <si>
    <t xml:space="preserve">No para el MFD</t>
  </si>
  <si>
    <t xml:space="preserve">Aplicar desde la Formulación 2028 (DEC-6)</t>
  </si>
  <si>
    <t xml:space="preserve">Catálogos v2 y relación actividad–finalidad (128–132) → Formulación (144)</t>
  </si>
  <si>
    <t xml:space="preserve">Parcial (estructura)</t>
  </si>
  <si>
    <t xml:space="preserve">Entrega parcial (M3)</t>
  </si>
  <si>
    <t xml:space="preserve">PMI y PMIE (147, StandBy) → Registro de proyectos (149)</t>
  </si>
  <si>
    <t xml:space="preserve">Reactivar 147 y mover 149 +6 días</t>
  </si>
  <si>
    <t xml:space="preserve">Pendiente de DEC-4.</t>
  </si>
  <si>
    <t xml:space="preserve">Instrucciones de pago de deuda (270, 272) → ejecución de gastos de deuda (186)</t>
  </si>
  <si>
    <t xml:space="preserve">Mover 186 +41 días (FF)</t>
  </si>
  <si>
    <t xml:space="preserve">Ejecución presupuestaria → Seguimiento de metas (366–369)</t>
  </si>
  <si>
    <t xml:space="preserve">Solapamiento viable</t>
  </si>
  <si>
    <t xml:space="preserve">Vínculo FF</t>
  </si>
  <si>
    <t xml:space="preserve">Catálogo relacional Deuda–Inversión (82) → 149 y 256</t>
  </si>
  <si>
    <t xml:space="preserve">Entrega parcial (M5)</t>
  </si>
  <si>
    <t xml:space="preserve">Se retira la compresión de 82.</t>
  </si>
  <si>
    <t xml:space="preserve">Gestión administrativa de inversiones (188) → Seguimiento (350)</t>
  </si>
  <si>
    <t xml:space="preserve">CMN (153) y PAC (155) → Actuaciones preparatorias (195)</t>
  </si>
  <si>
    <t xml:space="preserve">Vínculos FC y FF</t>
  </si>
  <si>
    <t xml:space="preserve">Proyección de deuda (167, 169) → Formulación (144)</t>
  </si>
  <si>
    <t xml:space="preserve">Entrega parcial (M8)</t>
  </si>
  <si>
    <t xml:space="preserve">Recursos OOC, RO y RD (160) → Formulación (144)</t>
  </si>
  <si>
    <t xml:space="preserve">Entrega parcial (M9)</t>
  </si>
  <si>
    <t xml:space="preserve">Catálogos de consolidación (108–109) → Consolidación (356–357)</t>
  </si>
  <si>
    <t xml:space="preserve">Vínculo FC −5 días</t>
  </si>
  <si>
    <t xml:space="preserve">Se retira el ajuste 11.</t>
  </si>
  <si>
    <t xml:space="preserve">Cuotas de compromiso (175–176) → compromiso (181)</t>
  </si>
  <si>
    <t xml:space="preserve">Secuencia correcta</t>
  </si>
  <si>
    <t xml:space="preserve">Vínculo FC</t>
  </si>
  <si>
    <t xml:space="preserve">Holgura sube a 21 días.</t>
  </si>
  <si>
    <t xml:space="preserve">Formulación y Aprobación (144–145) → Apertura (173)</t>
  </si>
  <si>
    <t xml:space="preserve">Planillas GFRH (216) → gestión fiscal (182) y pagos</t>
  </si>
  <si>
    <t xml:space="preserve">Interfaz no validada</t>
  </si>
  <si>
    <t xml:space="preserve">Hito de validación (M6)</t>
  </si>
  <si>
    <t xml:space="preserve">D23</t>
  </si>
  <si>
    <t xml:space="preserve">Certificación de crédito → Actuaciones preparatorias (195)</t>
  </si>
  <si>
    <t xml:space="preserve">Secuencia real (nueva)</t>
  </si>
  <si>
    <t xml:space="preserve">Nueva N2 (FF con 195)</t>
  </si>
  <si>
    <t xml:space="preserve">Nueva</t>
  </si>
  <si>
    <t xml:space="preserve">No estaba en el diagnóstico.</t>
  </si>
  <si>
    <t xml:space="preserve">D24</t>
  </si>
  <si>
    <t xml:space="preserve">Modelo del devengado → Pagos (234, 236)</t>
  </si>
  <si>
    <t xml:space="preserve">Nueva N2 (FC con 234 y 236)</t>
  </si>
  <si>
    <t xml:space="preserve">Revisión de los 12 ajustes del diagnóstico</t>
  </si>
  <si>
    <t xml:space="preserve">Ajuste</t>
  </si>
  <si>
    <t xml:space="preserve">Ajuste original</t>
  </si>
  <si>
    <t xml:space="preserve">Decisión</t>
  </si>
  <si>
    <t xml:space="preserve">Motivo y reemplazo</t>
  </si>
  <si>
    <t xml:space="preserve">1</t>
  </si>
  <si>
    <t xml:space="preserve">Adelantar 162–163 a ene–abr 2027 (−422 días)</t>
  </si>
  <si>
    <t xml:space="preserve">Se modifica</t>
  </si>
  <si>
    <t xml:space="preserve">Cuota v1 (N1) en may 2027; 162–163 se mantienen como v2.</t>
  </si>
  <si>
    <t xml:space="preserve">2</t>
  </si>
  <si>
    <t xml:space="preserve">Dividir 181 en compromiso y devengado (+125/+223)</t>
  </si>
  <si>
    <t xml:space="preserve">División en tres (N2, 181, N3) con entregas parciales M1 y M2; compromiso solo +29 días.</t>
  </si>
  <si>
    <t xml:space="preserve">3</t>
  </si>
  <si>
    <t xml:space="preserve">Adelantar el Administrador de Metas (−66)</t>
  </si>
  <si>
    <t xml:space="preserve">Se retira</t>
  </si>
  <si>
    <t xml:space="preserve">Compresión sin capacidad verificada. Se reemplaza por M4.</t>
  </si>
  <si>
    <t xml:space="preserve">4</t>
  </si>
  <si>
    <t xml:space="preserve">Adelantar clasificadores temáticos (−48/−75)</t>
  </si>
  <si>
    <t xml:space="preserve">Se aplican desde la Formulación 2028 (DEC-6).</t>
  </si>
  <si>
    <t xml:space="preserve">5</t>
  </si>
  <si>
    <t xml:space="preserve">Adelantar catálogos v2 al 15/01/2027</t>
  </si>
  <si>
    <t xml:space="preserve">Solo la estructura (M3); el poblado sigue su fecha.</t>
  </si>
  <si>
    <t xml:space="preserve">6</t>
  </si>
  <si>
    <t xml:space="preserve">Mover cierres contables +418 días</t>
  </si>
  <si>
    <t xml:space="preserve">Solo en el escenario B. Se recomienda el A con la adecuación N5.</t>
  </si>
  <si>
    <t xml:space="preserve">7</t>
  </si>
  <si>
    <t xml:space="preserve">Nueva actualización 3 del motor contable</t>
  </si>
  <si>
    <t xml:space="preserve">Dos actualizaciones (N6 y N7) para cubrir hasta dic 2029.</t>
  </si>
  <si>
    <t xml:space="preserve">8</t>
  </si>
  <si>
    <t xml:space="preserve">Versión preliminar de deuda e ingresos</t>
  </si>
  <si>
    <t xml:space="preserve">Hitos M8 y M9; se conservan las restricciones de 165 y 170.</t>
  </si>
  <si>
    <t xml:space="preserve">9</t>
  </si>
  <si>
    <t xml:space="preserve">Adelantar el catálogo 82 (−34)</t>
  </si>
  <si>
    <t xml:space="preserve">Entrega parcial M5 al 30/11/2026, sin comprimir 82.</t>
  </si>
  <si>
    <t xml:space="preserve">10</t>
  </si>
  <si>
    <t xml:space="preserve">Mover 186 +41 días</t>
  </si>
  <si>
    <t xml:space="preserve">Vínculo FF con 269.</t>
  </si>
  <si>
    <t xml:space="preserve">11</t>
  </si>
  <si>
    <t xml:space="preserve">Adelantar 108–109 (−13)</t>
  </si>
  <si>
    <t xml:space="preserve">Solapamiento aceptado con vínculo FC −5 días.</t>
  </si>
  <si>
    <t xml:space="preserve">12</t>
  </si>
  <si>
    <t xml:space="preserve">Decidir PMI y Formulación por proyecto</t>
  </si>
  <si>
    <t xml:space="preserve">DEC-4 y nueva Formulación v2 (N4).</t>
  </si>
  <si>
    <t xml:space="preserve">Correcciones al diagnóstico</t>
  </si>
  <si>
    <t xml:space="preserve">Tema</t>
  </si>
  <si>
    <t xml:space="preserve">Qué se corrige</t>
  </si>
  <si>
    <t xml:space="preserve">«Ciclo presupuestario 2027»</t>
  </si>
  <si>
    <t xml:space="preserve">Las fechas de Formulación (14/10/2026–19/01/2027) son del diseño del MFD del módulo, no del ciclo fiscal. El riesgo es de retrabajo del MFD, no de operación del presupuesto 2027.</t>
  </si>
  <si>
    <t xml:space="preserve">Se reformula como «cierre del diseño de Formulación».</t>
  </si>
  <si>
    <t xml:space="preserve">Brecha de la cuota de pago (D1)</t>
  </si>
  <si>
    <t xml:space="preserve">La Acreditación del responsable (232, desde 20/04/2027) no usa la cuota. El primer proceso que la necesita es Pagos entre CUT (236), desde el 16/06/2027.</t>
  </si>
  <si>
    <t xml:space="preserve">La brecha pasa de 407 a 350 días.</t>
  </si>
  <si>
    <t xml:space="preserve">Contabilidad antes que la ejecución (D4 y D5)</t>
  </si>
  <si>
    <t xml:space="preserve">Hay evidencia de un diseño de transición con el SIAF-SP: la integración SIAF-RP–SIAF-SP (344) y el cierre contable (361) están terminados.</t>
  </si>
  <si>
    <t xml:space="preserve">Se rebaja de alerta alta a «pendiente de decisión» (DEC-3).</t>
  </si>
  <si>
    <t xml:space="preserve">Ajustes 3, 4 y 5 (adelantar metas, clasificadores y catálogos)</t>
  </si>
  <si>
    <t xml:space="preserve">Comprimían duraciones sin datos de capacidad: el .mpp no tiene recursos.</t>
  </si>
  <si>
    <t xml:space="preserve">Se retiran. Se reemplazan por entregas parciales (M3, M4) y por aplicar los clasificadores temáticos al ciclo 2028.</t>
  </si>
  <si>
    <t xml:space="preserve">Ajuste 1 (adelantar 162 y 163 en 422 días)</t>
  </si>
  <si>
    <t xml:space="preserve">Se solapaba con los Flujos de caja proyectados (161) y cargaba al CAF de Tesorería en el primer trimestre de 2027.</t>
  </si>
  <si>
    <t xml:space="preserve">Se reemplaza por una cuota de pago v1 (N1) en mayo de 2027; la versión completa se mantiene en 2028.</t>
  </si>
  <si>
    <t xml:space="preserve">Ajuste 2 (mover la ejecución de bienes y servicios hasta 223 días)</t>
  </si>
  <si>
    <t xml:space="preserve">No consideraba la certificación de crédito, que las Actuaciones preparatorias necesitan antes, ni el modelo de devengado que necesita Pagos.</t>
  </si>
  <si>
    <t xml:space="preserve">Se reemplaza por una división en certificación, compromiso y devengado, con entregas parciales. Aparecen dos vínculos nuevos (D23 y D24).</t>
  </si>
  <si>
    <t xml:space="preserve">Ajuste 11 (adelantar los catálogos de consolidación 13 días)</t>
  </si>
  <si>
    <t xml:space="preserve">Un solapamiento de 6 días es viable con un vínculo con desfase.</t>
  </si>
  <si>
    <t xml:space="preserve">Se retira; se registra un vínculo FC con −5 días.</t>
  </si>
  <si>
    <t xml:space="preserve">«Pasar todas las tareas a programación automática»</t>
  </si>
  <si>
    <t xml:space="preserve">Puede mover fechas aprobadas sin control.</t>
  </si>
  <si>
    <t xml:space="preserve">Se reemplaza por una política selectiva: automática solo en tareas con vínculos validados (DEC-9).</t>
  </si>
  <si>
    <t xml:space="preserve">Fechas de disponibilidad</t>
  </si>
  <si>
    <t xml:space="preserve">El fin de un MFD no es la disponibilidad del sistema construido. La construcción (C3) no está programada.</t>
  </si>
  <si>
    <t xml:space="preserve">Los hitos se dividen en hitos de diseño (con fecha) e hitos de software (no verificables con el .mpp).</t>
  </si>
  <si>
    <t xml:space="preserve">Evaluación de alternativas A, B y C por caso. Se prioriza la integridad funcional, no el menor movimiento de fechas.</t>
  </si>
  <si>
    <t xml:space="preserve">Alt.</t>
  </si>
  <si>
    <t xml:space="preserve">Integración funcional</t>
  </si>
  <si>
    <t xml:space="preserve">Impacto en otros sistemas</t>
  </si>
  <si>
    <t xml:space="preserve">Variación del cronograma</t>
  </si>
  <si>
    <t xml:space="preserve">Riesgo de retrabajo</t>
  </si>
  <si>
    <t xml:space="preserve">Complejidad</t>
  </si>
  <si>
    <t xml:space="preserve">Recursos adicionales</t>
  </si>
  <si>
    <t xml:space="preserve">Viabilidad</t>
  </si>
  <si>
    <t xml:space="preserve">Efecto en hitos</t>
  </si>
  <si>
    <t xml:space="preserve">Selección</t>
  </si>
  <si>
    <t xml:space="preserve">Por qué</t>
  </si>
  <si>
    <t xml:space="preserve">Caso 1 · Tesorería</t>
  </si>
  <si>
    <t xml:space="preserve">A</t>
  </si>
  <si>
    <t xml:space="preserve">Adelantar 162 y 163 completos a ene–abr 2027</t>
  </si>
  <si>
    <t xml:space="preserve">Bajo</t>
  </si>
  <si>
    <t xml:space="preserve">Alta (−422 d)</t>
  </si>
  <si>
    <t xml:space="preserve">Altos</t>
  </si>
  <si>
    <t xml:space="preserve">Neutro</t>
  </si>
  <si>
    <t xml:space="preserve">B</t>
  </si>
  <si>
    <t xml:space="preserve">Cuota de pago v1 mínima (N1, may 2027) y v2 completa en may 2028</t>
  </si>
  <si>
    <t xml:space="preserve">Baja (nueva tarea)</t>
  </si>
  <si>
    <t xml:space="preserve">Medio</t>
  </si>
  <si>
    <t xml:space="preserve">Bajos</t>
  </si>
  <si>
    <t xml:space="preserve">Favorable (H4)</t>
  </si>
  <si>
    <t xml:space="preserve">Recomendada</t>
  </si>
  <si>
    <t xml:space="preserve">Habilita los pagos de 2027 con una regla mínima, sin comprimir Tesorería ni retrasar el ciclo financiero.</t>
  </si>
  <si>
    <t xml:space="preserve">C</t>
  </si>
  <si>
    <t xml:space="preserve">Retrasar los pagos (233–236) hasta después de may 2028</t>
  </si>
  <si>
    <t xml:space="preserve">Alto</t>
  </si>
  <si>
    <t xml:space="preserve">Alta (+350 d)</t>
  </si>
  <si>
    <t xml:space="preserve">Nulos</t>
  </si>
  <si>
    <t xml:space="preserve">Desfavorable</t>
  </si>
  <si>
    <t xml:space="preserve">Caso 2 · Abastecimiento – Presupuesto</t>
  </si>
  <si>
    <t xml:space="preserve">Adelantar contrato/OC/OS (196) y Conformidad (197)</t>
  </si>
  <si>
    <t xml:space="preserve">Baja (dependen de 195)</t>
  </si>
  <si>
    <t xml:space="preserve">Dividir 181 en certificación, compromiso y devengado, con entregas parciales M1 y M2</t>
  </si>
  <si>
    <t xml:space="preserve">Baja (+29 d)</t>
  </si>
  <si>
    <t xml:space="preserve">Medios</t>
  </si>
  <si>
    <t xml:space="preserve">Ordena el ciclo certificación → compromiso → devengado → pago con la menor variación, y agrega la certificación que faltaba.</t>
  </si>
  <si>
    <t xml:space="preserve">Mover 181 completa después de 197</t>
  </si>
  <si>
    <t xml:space="preserve">Alta (+160 d)</t>
  </si>
  <si>
    <t xml:space="preserve">Caso 3 · Contabilidad – Gestión – Evaluación</t>
  </si>
  <si>
    <t xml:space="preserve">Usar el SIAF-SP como fuente de transición y adecuar cierres (N5) en 2028</t>
  </si>
  <si>
    <t xml:space="preserve">Media-alta</t>
  </si>
  <si>
    <t xml:space="preserve">Nula en 2026–2027</t>
  </si>
  <si>
    <t xml:space="preserve">Es coherente con lo ya construido (344, 354, 361, 362 terminados) y evita retrasar la Cuenta General.</t>
  </si>
  <si>
    <t xml:space="preserve">Usar solo los nuevos sistemas AFSP: mover 355, 358, 359 y 360 después de la ejecución</t>
  </si>
  <si>
    <t xml:space="preserve">Alto (CGR, EFP)</t>
  </si>
  <si>
    <t xml:space="preserve">Alta (+418 d)</t>
  </si>
  <si>
    <t xml:space="preserve">Desfavorable (H6)</t>
  </si>
  <si>
    <t xml:space="preserve">Caso 4 · Clasificadores y Catálogos</t>
  </si>
  <si>
    <t xml:space="preserve">Adelantar las fechas de fin de los catálogos</t>
  </si>
  <si>
    <t xml:space="preserve">Versión mínima (estructura) al 15/01/2027 (M3), versión completa en su fecha y actualizaciones por ciclo</t>
  </si>
  <si>
    <t xml:space="preserve">Nula</t>
  </si>
  <si>
    <t xml:space="preserve">Favorable (H1)</t>
  </si>
  <si>
    <t xml:space="preserve">La Formulación necesita la estructura, no el poblado completo. No exige comprimir trabajo.</t>
  </si>
  <si>
    <t xml:space="preserve">Caso 5 · Inversiones – Presupuesto</t>
  </si>
  <si>
    <t xml:space="preserve">Reactivar PMI (147) ya, mover 149 +6 días y agregar Formulación v2 (N4)</t>
  </si>
  <si>
    <t xml:space="preserve">Favorable (H2)</t>
  </si>
  <si>
    <t xml:space="preserve">Resuelve la cadena PMI → registro → formulación con el menor movimiento; la Formulación v2 integra el detalle por proyecto.</t>
  </si>
  <si>
    <t xml:space="preserve">Mantener StandBy y mover 149, 150 y N4 por cada mes de espera</t>
  </si>
  <si>
    <t xml:space="preserve">Variable</t>
  </si>
  <si>
    <t xml:space="preserve">Adelantar 150 para que se diseñe junto con 144</t>
  </si>
  <si>
    <t xml:space="preserve">Baja (149 no termina antes)</t>
  </si>
  <si>
    <t xml:space="preserve">Caso 6 · Endeudamiento – Contabilidad</t>
  </si>
  <si>
    <t xml:space="preserve">Una sola actualización final del motor en 2029</t>
  </si>
  <si>
    <t xml:space="preserve">Dos actualizaciones: N6 (abr–jun 2029) y N7 (oct–dic 2029, FF con 296)</t>
  </si>
  <si>
    <t xml:space="preserve">Favorable (H5, H7)</t>
  </si>
  <si>
    <t xml:space="preserve">Reduce el retrabajo al incorporar los eventos de deuda por bloques, a medida que se diseñan.</t>
  </si>
  <si>
    <t xml:space="preserve">Caso 7 · Evaluación transversal</t>
  </si>
  <si>
    <t xml:space="preserve">Crear un módulo de Evaluación por sistema</t>
  </si>
  <si>
    <t xml:space="preserve">Evaluar a través de Presupuesto, Inversiones y Contabilidad, con una validación final (N10)</t>
  </si>
  <si>
    <t xml:space="preserve">Favorable (H6, H7)</t>
  </si>
  <si>
    <t xml:space="preserve">Los datos de los siete sistemas ya llegan a Evaluación vía la contabilidad (CGR, EFP) y la ejecución presupuestaria.</t>
  </si>
  <si>
    <t xml:space="preserve">Comparación de escenarios. «No verificable» indica que el .mpp no tiene datos (recursos, construcción) para calcularlo.</t>
  </si>
  <si>
    <t xml:space="preserve">Criterio</t>
  </si>
  <si>
    <t xml:space="preserve">Escenario 1 – Conservador</t>
  </si>
  <si>
    <t xml:space="preserve">Escenario 2 – Integración optimizada (recomendado)</t>
  </si>
  <si>
    <t xml:space="preserve">Escenario 3 – Integración prioritaria</t>
  </si>
  <si>
    <t xml:space="preserve">Fecha estimada de cierre del diseño</t>
  </si>
  <si>
    <t xml:space="preserve">28/12/2029</t>
  </si>
  <si>
    <t xml:space="preserve">No verificable: posterior a 28/12/2029 si no se suman recursos</t>
  </si>
  <si>
    <t xml:space="preserve">Dependencias resueltas (de 24)</t>
  </si>
  <si>
    <t xml:space="preserve">7 resueltas · 5 condicionadas · 4 pendientes de decisión · 8 sin resolver</t>
  </si>
  <si>
    <t xml:space="preserve">8 resueltas · 12 condicionadas · 4 pendientes de decisión · 0 sin resolver</t>
  </si>
  <si>
    <t xml:space="preserve">9 resueltas · 15 condicionadas · 0 pendientes · 0 sin resolver</t>
  </si>
  <si>
    <t xml:space="preserve">Alertas críticas pendientes</t>
  </si>
  <si>
    <t xml:space="preserve">2 (mitigadas solo con hitos)</t>
  </si>
  <si>
    <t xml:space="preserve">0 (condicionadas a validación de capacidad)</t>
  </si>
  <si>
    <t xml:space="preserve">0</t>
  </si>
  <si>
    <t xml:space="preserve">Actividades reprogramadas</t>
  </si>
  <si>
    <t xml:space="preserve">12 (solo actualización por avance real)</t>
  </si>
  <si>
    <t xml:space="preserve">16 con cambio de fecha + 9 nuevas + 15 hitos</t>
  </si>
  <si>
    <t xml:space="preserve">Más de 22 con cambio de fecha + diferimiento de procesos no críticos</t>
  </si>
  <si>
    <t xml:space="preserve">Impacto en recursos</t>
  </si>
  <si>
    <t xml:space="preserve">Medio: +1 a +2 actividades simultáneas en Presupuesto (feb–abr 2027) y Tesorería (may–jun 2027)</t>
  </si>
  <si>
    <t xml:space="preserve">Alto: Tesorería y Contabilidad en paralelo en 2027</t>
  </si>
  <si>
    <t xml:space="preserve">Riesgo residual</t>
  </si>
  <si>
    <t xml:space="preserve">Medio (bajo funcional, alto de plazo)</t>
  </si>
  <si>
    <t xml:space="preserve">Media-alta (condicionada)</t>
  </si>
  <si>
    <t xml:space="preserve">Baja sin recursos adicionales</t>
  </si>
  <si>
    <t xml:space="preserve">Hitos de aprobación del diseño funcional integrado. No se declara alcanzado un hito sin el acta o evidencia del criterio de aceptación.</t>
  </si>
  <si>
    <t xml:space="preserve">Sistemas involucrados</t>
  </si>
  <si>
    <t xml:space="preserve">Entregables necesarios</t>
  </si>
  <si>
    <t xml:space="preserve">Fecha objetivo (diseño)</t>
  </si>
  <si>
    <t xml:space="preserve">Criterio de aceptación</t>
  </si>
  <si>
    <t xml:space="preserve">Responsable propuesto</t>
  </si>
  <si>
    <t xml:space="preserve">Hito de software y puesta en uso</t>
  </si>
  <si>
    <t xml:space="preserve">Clasificadores y Catálogos (versión mínima) disponibles para Programación</t>
  </si>
  <si>
    <t xml:space="preserve">Presupuesto, Endeudamiento, Tesorería, Inversiones</t>
  </si>
  <si>
    <t xml:space="preserve">M3 (estructura de 46, 47, 65, 66, 128–132); M5</t>
  </si>
  <si>
    <t xml:space="preserve">Estructuras aprobadas por la DG y cargadas en el Administrador de Catálogos (sin poblado completo)</t>
  </si>
  <si>
    <t xml:space="preserve">No verificable: el .mpp no programa la construcción (C3)</t>
  </si>
  <si>
    <t xml:space="preserve">Programación integrada entre sistemas</t>
  </si>
  <si>
    <t xml:space="preserve">Presupuesto, Inversiones, Endeudamiento, Tesorería, Abastecimiento</t>
  </si>
  <si>
    <t xml:space="preserve">138, 144, 145, 149, 153, 160, 169; M4, M8, M9</t>
  </si>
  <si>
    <t xml:space="preserve">MFD de Formulación con metas, deuda, ingresos y estructura de proyectos referenciados</t>
  </si>
  <si>
    <t xml:space="preserve">CAF Presupuesto + Coordinación</t>
  </si>
  <si>
    <t xml:space="preserve">Programación y Gestión articuladas</t>
  </si>
  <si>
    <t xml:space="preserve">Presupuesto, Inversiones</t>
  </si>
  <si>
    <t xml:space="preserve">173, 175, 176</t>
  </si>
  <si>
    <t xml:space="preserve">Apertura y cuotas de compromiso diseñadas sobre el presupuesto aprobado</t>
  </si>
  <si>
    <t xml:space="preserve">Ciclo certificación–compromiso–devengado–pago integrado</t>
  </si>
  <si>
    <t xml:space="preserve">Presupuesto, Abastecimiento, Tesorería, GFRH</t>
  </si>
  <si>
    <t xml:space="preserve">N2, M1, 181, M2, N3, N1, 234, 236, M6</t>
  </si>
  <si>
    <t xml:space="preserve">Modelo común de datos del gasto aprobado por los cuatro CAF; trazabilidad de la orden al pago</t>
  </si>
  <si>
    <t xml:space="preserve">Mesa de integración interCAF</t>
  </si>
  <si>
    <t xml:space="preserve">Gestión y Contabilidad articuladas (motor contable v2)</t>
  </si>
  <si>
    <t xml:space="preserve">Contabilidad y los seis sistemas de Gestión</t>
  </si>
  <si>
    <t xml:space="preserve">346, 347</t>
  </si>
  <si>
    <t xml:space="preserve">Catálogo de Eventos con los eventos de ejecución, pagos y deuda etapa 1</t>
  </si>
  <si>
    <t xml:space="preserve">Gestión y Evaluación articuladas</t>
  </si>
  <si>
    <t xml:space="preserve">Presupuesto, Inversiones, Contabilidad</t>
  </si>
  <si>
    <t xml:space="preserve">363, 373, 352, N5</t>
  </si>
  <si>
    <t xml:space="preserve">Evaluación presupuestaria, de inversiones y Cuenta General diseñadas con las fuentes AFSP</t>
  </si>
  <si>
    <t xml:space="preserve">Integración funcional completa de los siete sistemas (diseño)</t>
  </si>
  <si>
    <t xml:space="preserve">Los siete</t>
  </si>
  <si>
    <t xml:space="preserve">N6, N7, N10, 296</t>
  </si>
  <si>
    <t xml:space="preserve">Motor contable y Evaluación cubren todos los procesos diseñados hasta dic 2029</t>
  </si>
  <si>
    <t xml:space="preserve">Caso 7: no se crea un módulo de Evaluación por sistema.</t>
  </si>
  <si>
    <t xml:space="preserve">Resultado a evaluar</t>
  </si>
  <si>
    <t xml:space="preserve">Sistema que produce los datos</t>
  </si>
  <si>
    <t xml:space="preserve">Proceso responsable de evaluarlo</t>
  </si>
  <si>
    <t xml:space="preserve">Ejecución del gasto (certificación, compromiso, devengado)</t>
  </si>
  <si>
    <t xml:space="preserve">Presupuesto, Abastecimiento, GFRH</t>
  </si>
  <si>
    <t xml:space="preserve">Evaluación presupuestaria (366–373); Estados presupuestales (359)</t>
  </si>
  <si>
    <t xml:space="preserve">Planillas e ingresos del personal</t>
  </si>
  <si>
    <t xml:space="preserve">Seguimiento dinámico del gasto (368); Estados presupuestales (359)</t>
  </si>
  <si>
    <t xml:space="preserve">Adquisiciones y contratos</t>
  </si>
  <si>
    <t xml:space="preserve">Análisis de calidad del gasto (373); Seguimiento de metas (366–367)</t>
  </si>
  <si>
    <t xml:space="preserve">Bienes, almacén y activos</t>
  </si>
  <si>
    <t xml:space="preserve">Estados financieros (358); Consolidación contable (357)</t>
  </si>
  <si>
    <t xml:space="preserve">Ingresos, pagos y liquidez</t>
  </si>
  <si>
    <t xml:space="preserve">Estados financieros (358); Estadísticas de Finanzas Públicas (364); Cuenta General (363)</t>
  </si>
  <si>
    <t xml:space="preserve">Deuda pública</t>
  </si>
  <si>
    <t xml:space="preserve">Estadísticas de deuda (288–289); Estadísticas de Finanzas Públicas (364); Cuenta General (363)</t>
  </si>
  <si>
    <t xml:space="preserve">Ejecución de inversiones</t>
  </si>
  <si>
    <t xml:space="preserve">Seguimiento físico-financiero, ex post y sostenibilidad (350–352)</t>
  </si>
  <si>
    <t xml:space="preserve">Procesos diseñados en 2029 (deuda etapa 2, almacén)</t>
  </si>
  <si>
    <t xml:space="preserve">Endeudamiento, Abastecimiento</t>
  </si>
  <si>
    <t xml:space="preserve">Validación de integración con CGR y EFP (N10)</t>
  </si>
  <si>
    <t xml:space="preserve">Plan de implementación de la solución. Nivel de decisión: CAF, Varios CAF, Coordinación o UCP.</t>
  </si>
  <si>
    <t xml:space="preserve">Tipo de acción</t>
  </si>
  <si>
    <t xml:space="preserve">Acción</t>
  </si>
  <si>
    <t xml:space="preserve">CAF o responsable por validar</t>
  </si>
  <si>
    <t xml:space="preserve">Fecha límite propuesta</t>
  </si>
  <si>
    <t xml:space="preserve">Entregable</t>
  </si>
  <si>
    <t xml:space="preserve">Nivel de decisión</t>
  </si>
  <si>
    <t xml:space="preserve">Inmediata</t>
  </si>
  <si>
    <t xml:space="preserve">Aprobar el Escenario 2 como base de la reprogramación</t>
  </si>
  <si>
    <t xml:space="preserve">Coordinación del Proyecto y UCP</t>
  </si>
  <si>
    <t xml:space="preserve">13/11/2026</t>
  </si>
  <si>
    <t xml:space="preserve">Acta de aprobación</t>
  </si>
  <si>
    <t xml:space="preserve">UCP</t>
  </si>
  <si>
    <t xml:space="preserve">Decidir la salida de StandBy de la PMI y PMIE (147)</t>
  </si>
  <si>
    <t xml:space="preserve">CAF Inversiones → Coordinación</t>
  </si>
  <si>
    <t xml:space="preserve">30/10/2026</t>
  </si>
  <si>
    <t xml:space="preserve">Decisión DEC-4</t>
  </si>
  <si>
    <t xml:space="preserve">Cerrar formalmente los 6 catálogos vencidos al 99 % (25, 46, 59, 60, 62, 63)</t>
  </si>
  <si>
    <t xml:space="preserve">MFD aprobados</t>
  </si>
  <si>
    <t xml:space="preserve">CAF</t>
  </si>
  <si>
    <t xml:space="preserve">Confirmar la fuente contable de transición (escenario A)</t>
  </si>
  <si>
    <t xml:space="preserve">CAF Contabilidad → Coordinación</t>
  </si>
  <si>
    <t xml:space="preserve">30/11/2026</t>
  </si>
  <si>
    <t xml:space="preserve">Decisión DEC-3</t>
  </si>
  <si>
    <t xml:space="preserve">Aprobar la estructura del catálogo relacional Deuda–Inversión (M5)</t>
  </si>
  <si>
    <t xml:space="preserve">Endeudamiento, Inversiones</t>
  </si>
  <si>
    <t xml:space="preserve">Estructura aprobada</t>
  </si>
  <si>
    <t xml:space="preserve">Varios CAF</t>
  </si>
  <si>
    <t xml:space="preserve">Reprogramación</t>
  </si>
  <si>
    <t xml:space="preserve">Depurar el .mpp: duplicados 141–142 y 69/75, fila 133, «&lt;Tarea nueva&gt;» (81) y Estado UCP</t>
  </si>
  <si>
    <t xml:space="preserve">PMO</t>
  </si>
  <si>
    <t xml:space="preserve">.mpp depurado</t>
  </si>
  <si>
    <t xml:space="preserve">—</t>
  </si>
  <si>
    <t xml:space="preserve">Cargar tareas nuevas, hitos y vínculos (hoja «Importar a Project» o archivo XML)</t>
  </si>
  <si>
    <t xml:space="preserve">27/11/2026</t>
  </si>
  <si>
    <t xml:space="preserve">.mpp con red de dependencias</t>
  </si>
  <si>
    <t xml:space="preserve">Guardar la línea base 1 y fijar una fecha de estado mensual</t>
  </si>
  <si>
    <t xml:space="preserve">04/12/2026</t>
  </si>
  <si>
    <t xml:space="preserve">Línea base 1</t>
  </si>
  <si>
    <t xml:space="preserve">Aplicar la política de programación: automática solo en tareas con vínculos validados</t>
  </si>
  <si>
    <t xml:space="preserve">PMO + Coordinación</t>
  </si>
  <si>
    <t xml:space="preserve">Política aprobada (DEC-9)</t>
  </si>
  <si>
    <t xml:space="preserve">Validación funcional</t>
  </si>
  <si>
    <t xml:space="preserve">Validar el alcance y la capacidad de la cuota de pago v1 (N1)</t>
  </si>
  <si>
    <t xml:space="preserve">15/12/2026</t>
  </si>
  <si>
    <t xml:space="preserve">Ficha de alcance de N1</t>
  </si>
  <si>
    <t xml:space="preserve">Validar la división de la ejecución de bienes y servicios (N2, 181, N3)</t>
  </si>
  <si>
    <t xml:space="preserve">Presupuesto, Abastecimiento</t>
  </si>
  <si>
    <t xml:space="preserve">Acuerdo interCAF</t>
  </si>
  <si>
    <t xml:space="preserve">Acordar las entregas parciales M1 y M2 dentro de 196 y 197</t>
  </si>
  <si>
    <t xml:space="preserve">Plan de entregas</t>
  </si>
  <si>
    <t xml:space="preserve">Decidir que los clasificadores 49 y 50 se apliquen desde la Formulación 2028</t>
  </si>
  <si>
    <t xml:space="preserve">Decisión DEC-6</t>
  </si>
  <si>
    <t xml:space="preserve">Aprobar las versiones mínimas M3, M4, M8 y M9</t>
  </si>
  <si>
    <t xml:space="preserve">Presupuesto, Endeudamiento, Tesorería</t>
  </si>
  <si>
    <t xml:space="preserve">CAF Presupuesto + CAF Endeudamiento + CAF Tesorería</t>
  </si>
  <si>
    <t xml:space="preserve">15/01/2027</t>
  </si>
  <si>
    <t xml:space="preserve">Estructuras aprobadas</t>
  </si>
  <si>
    <t xml:space="preserve">Integración transversal</t>
  </si>
  <si>
    <t xml:space="preserve">Constituir la mesa de integración del modelo común de datos del gasto (N2)</t>
  </si>
  <si>
    <t xml:space="preserve">Presupuesto, Abastecimiento, Tesorería, Contabilidad</t>
  </si>
  <si>
    <t xml:space="preserve">Mesa constituida</t>
  </si>
  <si>
    <t xml:space="preserve">Definir la titularidad de convenios, desembolsos y acreedores</t>
  </si>
  <si>
    <t xml:space="preserve">Inversiones, Endeudamiento, Tesorería</t>
  </si>
  <si>
    <t xml:space="preserve">Tres CAF → Coordinación</t>
  </si>
  <si>
    <t xml:space="preserve">Decisión DEC-5</t>
  </si>
  <si>
    <t xml:space="preserve">Solicitar el cronograma de construcción (C3) por sistema, alineado a H1–H7</t>
  </si>
  <si>
    <t xml:space="preserve">Coordinación + OGTI + fábrica</t>
  </si>
  <si>
    <t xml:space="preserve">31/01/2027</t>
  </si>
  <si>
    <t xml:space="preserve">Cronograma C3</t>
  </si>
  <si>
    <t xml:space="preserve">Planificar las actualizaciones 3 y 4 del motor contable (N6, N7)</t>
  </si>
  <si>
    <t xml:space="preserve">Contabilidad, Endeudamiento</t>
  </si>
  <si>
    <t xml:space="preserve">31/03/2027</t>
  </si>
  <si>
    <t xml:space="preserve">Plan de eventos por bloque</t>
  </si>
  <si>
    <t xml:space="preserve">Seguimiento y control</t>
  </si>
  <si>
    <t xml:space="preserve">Revisar las 33 actividades «No figura en PMO» e incorporar las del ciclo del gasto</t>
  </si>
  <si>
    <t xml:space="preserve">Presupuesto, Tesorería, Inversiones</t>
  </si>
  <si>
    <t xml:space="preserve">Coordinación + UCP</t>
  </si>
  <si>
    <t xml:space="preserve">Decisión DEC-7</t>
  </si>
  <si>
    <t xml:space="preserve">Reporte mensual de hitos H1–H7, vínculos y ruta crítica</t>
  </si>
  <si>
    <t xml:space="preserve">Mensual desde 12/2026</t>
  </si>
  <si>
    <t xml:space="preserve">Reporte de control</t>
  </si>
  <si>
    <t xml:space="preserve">Entregable 4 · Matriz de decisiones para la Coordinación del Proyecto y la UCP.</t>
  </si>
  <si>
    <t xml:space="preserve">Problema que resuelve</t>
  </si>
  <si>
    <t xml:space="preserve">Alternativas disponibles</t>
  </si>
  <si>
    <t xml:space="preserve">Alternativa recomendada</t>
  </si>
  <si>
    <t xml:space="preserve">Consecuencias de no decidir</t>
  </si>
  <si>
    <t xml:space="preserve">Sistemas afectados</t>
  </si>
  <si>
    <t xml:space="preserve">Responsable de aprobación</t>
  </si>
  <si>
    <t xml:space="preserve">DEC-1</t>
  </si>
  <si>
    <t xml:space="preserve">Cuota de pago para los pagos de 2027</t>
  </si>
  <si>
    <t xml:space="preserve">Pagos (233–236) se diseñan antes que la cuota de pago (163)</t>
  </si>
  <si>
    <t xml:space="preserve">A: adelantar 162–163 completos · B: cuota v1 mínima en may 2027 + v2 en 2028 · C: retrasar los pagos a 2028</t>
  </si>
  <si>
    <t xml:space="preserve">Los MFD de pagos se cierran sin la regla de cuota: retrabajo y ciclo de pago no probable en 2027.</t>
  </si>
  <si>
    <t xml:space="preserve">Tesorería, Presupuesto, Endeudamiento</t>
  </si>
  <si>
    <t xml:space="preserve">CAF Tesorería → Coordinación</t>
  </si>
  <si>
    <t xml:space="preserve">DEC-2</t>
  </si>
  <si>
    <t xml:space="preserve">División de la ejecución de bienes y servicios</t>
  </si>
  <si>
    <t xml:space="preserve">Compromiso y devengado se diseñan antes que la orden y la conformidad</t>
  </si>
  <si>
    <t xml:space="preserve">A: adelantar 196–197 (no viable) · B: dividir 181 con entregas parciales M1 y M2 · C: mover 181 después de 197 (+160 d)</t>
  </si>
  <si>
    <t xml:space="preserve">El gasto corriente se diseña sin su documento fuente; la certificación sigue sin diseño propio.</t>
  </si>
  <si>
    <t xml:space="preserve">Presupuesto, Abastecimiento, Tesorería</t>
  </si>
  <si>
    <t xml:space="preserve">CAF Presupuesto + CAF Abastecimiento → Coordinación</t>
  </si>
  <si>
    <t xml:space="preserve">DEC-3</t>
  </si>
  <si>
    <t xml:space="preserve">Fuente contable de transición 2026–2027</t>
  </si>
  <si>
    <t xml:space="preserve">Cierres y estados se diseñan antes que la ejecución AFSP</t>
  </si>
  <si>
    <t xml:space="preserve">A: SIAF-SP vigente + adecuación N5 · B: solo nuevos sistemas (+418 d en cierres)</t>
  </si>
  <si>
    <t xml:space="preserve">Riesgo de rediseñar cierres y estados, y de desplazar la Cuenta General.</t>
  </si>
  <si>
    <t xml:space="preserve">Contabilidad, Presupuesto</t>
  </si>
  <si>
    <t xml:space="preserve">DEC-4</t>
  </si>
  <si>
    <t xml:space="preserve">Salida de StandBy de la PMI y PMIE</t>
  </si>
  <si>
    <t xml:space="preserve">La cadena PMI → registro → formulación de proyectos está detenida</t>
  </si>
  <si>
    <t xml:space="preserve">A: reactivar ya (+6 d en 149) · B: mantener StandBy (cada mes = +1 mes en 149, 150 y N4) · C: usar el banco de inversiones vigente (requiere validación)</t>
  </si>
  <si>
    <t xml:space="preserve">Presupuesto y Endeudamiento no tendrán estructura de proyectos para 2027.</t>
  </si>
  <si>
    <t xml:space="preserve">Inversiones, Presupuesto, Endeudamiento</t>
  </si>
  <si>
    <t xml:space="preserve">DEC-5</t>
  </si>
  <si>
    <t xml:space="preserve">Titularidad de convenios, desembolsos y acreedores</t>
  </si>
  <si>
    <t xml:space="preserve">Inversiones y Endeudamiento diseñan procesos similares (189/191 y 279/282); Tesorería y Endeudamiento comparten acreedores (85/126)</t>
  </si>
  <si>
    <t xml:space="preserve">A: Endeudamiento titular; Inversiones consume y vincula al proyecto · B: Inversiones titular · C: mantener ambos</t>
  </si>
  <si>
    <t xml:space="preserve">Doble registro de convenios y datos inconsistentes entre sistemas.</t>
  </si>
  <si>
    <t xml:space="preserve">DEC-6</t>
  </si>
  <si>
    <t xml:space="preserve">Ciclo de aplicación de los clasificadores temáticos</t>
  </si>
  <si>
    <t xml:space="preserve">Cambio Climático (49) y Pueblos Indígenas (50) terminan después de la Formulación</t>
  </si>
  <si>
    <t xml:space="preserve">A: adelantarlos (compresión sin sustento) · B: aplicarlos desde la Formulación 2028</t>
  </si>
  <si>
    <t xml:space="preserve">Presión para comprimir dos MFD sin capacidad verificada.</t>
  </si>
  <si>
    <t xml:space="preserve">DEC-7</t>
  </si>
  <si>
    <t xml:space="preserve">Alcance de las 33 actividades «No figura en PMO»</t>
  </si>
  <si>
    <t xml:space="preserve">Incluyen las 7 de Ejecución presupuestaria y 6 de 9 de Pagos</t>
  </si>
  <si>
    <t xml:space="preserve">A: incorporar todas · B: incorporar las del ciclo del gasto (181–187, 232–237) y evaluar el resto · C: excluirlas</t>
  </si>
  <si>
    <t xml:space="preserve">El ciclo del gasto quedaría sin presupuesto ni prioridad en la fábrica.</t>
  </si>
  <si>
    <t xml:space="preserve">Presupuesto, Tesorería, Inversiones, Abastecimiento</t>
  </si>
  <si>
    <t xml:space="preserve">DEC-8</t>
  </si>
  <si>
    <t xml:space="preserve">Modelo de Evaluación transversal</t>
  </si>
  <si>
    <t xml:space="preserve">Cuatro sistemas no tienen procesos de Evaluación</t>
  </si>
  <si>
    <t xml:space="preserve">A: módulo de Evaluación por sistema · B: evaluar vía Presupuesto, Inversiones y Contabilidad + validación N10</t>
  </si>
  <si>
    <t xml:space="preserve">Ambigüedad de alcance y posibles módulos redundantes.</t>
  </si>
  <si>
    <t xml:space="preserve">DEC-9</t>
  </si>
  <si>
    <t xml:space="preserve">Política de programación y construcción (C3)</t>
  </si>
  <si>
    <t xml:space="preserve">No hay vínculos, línea base ni fechas de construcción</t>
  </si>
  <si>
    <t xml:space="preserve">A: pasar todo a automático · B: automático solo con vínculos validados + línea base + cronograma C3</t>
  </si>
  <si>
    <t xml:space="preserve">El cronograma seguirá sin ruta crítica y sin fechas de puesta en uso.</t>
  </si>
  <si>
    <t xml:space="preserve">Coordinación + PMO + OGTI</t>
  </si>
  <si>
    <t xml:space="preserve">Matriz de validación antes y después. No se declara resuelto lo que depende de una decisión o de recursos no confirmados.</t>
  </si>
  <si>
    <t xml:space="preserve">Hallazgo original</t>
  </si>
  <si>
    <t xml:space="preserve">Riesgo inicial</t>
  </si>
  <si>
    <t xml:space="preserve">Solución propuesta</t>
  </si>
  <si>
    <t xml:space="preserve">Nueva fecha</t>
  </si>
  <si>
    <t xml:space="preserve">Estado de solución</t>
  </si>
  <si>
    <t xml:space="preserve">1 · Cuota de pago después de Pagos (Tesorería)</t>
  </si>
  <si>
    <t xml:space="preserve">Crítica</t>
  </si>
  <si>
    <t xml:space="preserve">Cuota v1 (N1) + v2 (163)</t>
  </si>
  <si>
    <t xml:space="preserve">N1: 03/05/2027 – 02/06/2027</t>
  </si>
  <si>
    <t xml:space="preserve">Condicionado a validación</t>
  </si>
  <si>
    <t xml:space="preserve">2 · OC/OS y Conformidad después de la ejecución (Abastecimiento–Presupuesto)</t>
  </si>
  <si>
    <t xml:space="preserve">División N2 / 181 / N3 + entregas M1 y M2</t>
  </si>
  <si>
    <t xml:space="preserve">181: 30/06–31/08/2027; N3: 01/11–24/12/2027</t>
  </si>
  <si>
    <t xml:space="preserve">3 · Cronograma sin lógica de red</t>
  </si>
  <si>
    <t xml:space="preserve">87 vínculos verificados + línea base</t>
  </si>
  <si>
    <t xml:space="preserve">Carga al 27/11/2026</t>
  </si>
  <si>
    <t xml:space="preserve">4 · Cierres contables antes que la ejecución</t>
  </si>
  <si>
    <t xml:space="preserve">N5: 27/12/2027 – 18/02/2028</t>
  </si>
  <si>
    <t xml:space="preserve">5 · Motor contable sin actualizar después de 2028</t>
  </si>
  <si>
    <t xml:space="preserve">Actualizaciones 3 y 4 (N6, N7)</t>
  </si>
  <si>
    <t xml:space="preserve">N6: abr–jun 2029; N7: oct–dic 2029</t>
  </si>
  <si>
    <t xml:space="preserve">6 · Metas, clasificadores y catálogos v2 tarde para Formulación</t>
  </si>
  <si>
    <t xml:space="preserve">Hitos M3 y M4 + DEC-6</t>
  </si>
  <si>
    <t xml:space="preserve">7 · PMI en StandBy y formulación por proyecto desfasada</t>
  </si>
  <si>
    <t xml:space="preserve">Reactivar 147, mover 149, Formulación v2 (N4)</t>
  </si>
  <si>
    <t xml:space="preserve">149: 07/12/2026 – 05/02/2027; N4: jul–ago 2027</t>
  </si>
  <si>
    <t xml:space="preserve">8 · Deuda e ingresos 10 días tarde para Formulación</t>
  </si>
  <si>
    <t xml:space="preserve">Hitos M8 y M9</t>
  </si>
  <si>
    <t xml:space="preserve">9 · Duplicidad de convenios y desembolsos</t>
  </si>
  <si>
    <t xml:space="preserve">Titular único (DEC-5)</t>
  </si>
  <si>
    <t xml:space="preserve">10 · 33 actividades fuera del PMO</t>
  </si>
  <si>
    <t xml:space="preserve">Incorporar las del ciclo del gasto (DEC-7)</t>
  </si>
  <si>
    <t xml:space="preserve">11 · Cuatro sistemas sin Evaluación</t>
  </si>
  <si>
    <t xml:space="preserve">Modelo transversal + validación N10</t>
  </si>
  <si>
    <t xml:space="preserve">N10: oct–dic 2029</t>
  </si>
  <si>
    <t xml:space="preserve">12 · Evaluación empieza antes que Gestión</t>
  </si>
  <si>
    <t xml:space="preserve">Vínculos FF (366–369, 350)</t>
  </si>
  <si>
    <t xml:space="preserve">Sin cambio de fechas</t>
  </si>
  <si>
    <t xml:space="preserve">Resuelto en la propuesta</t>
  </si>
  <si>
    <t xml:space="preserve">13 · Ejecución de deuda antes que las instrucciones de pago</t>
  </si>
  <si>
    <t xml:space="preserve">Mover 186 (FF con 270 y 272)</t>
  </si>
  <si>
    <t xml:space="preserve">186: 24/09 – 25/11/2027</t>
  </si>
  <si>
    <t xml:space="preserve">14 · Calidad de datos del cronograma</t>
  </si>
  <si>
    <t xml:space="preserve">Regularización + depuración del .mpp</t>
  </si>
  <si>
    <t xml:space="preserve">15 · Actuaciones preparatorias antes del CMN y PAC</t>
  </si>
  <si>
    <t xml:space="preserve">16 · GFRH concluido antes que sus receptores</t>
  </si>
  <si>
    <t xml:space="preserve">Hito de validación M6</t>
  </si>
  <si>
    <t xml:space="preserve">11/08/2027</t>
  </si>
  <si>
    <t xml:space="preserve">17 · Catálogos de consolidación 6 días tarde</t>
  </si>
  <si>
    <t xml:space="preserve">18 · Cuotas de compromiso con 1 día de margen</t>
  </si>
  <si>
    <t xml:space="preserve">Vínculos 175/176 → 181</t>
  </si>
  <si>
    <t xml:space="preserve">Holgura de 21 días</t>
  </si>
  <si>
    <t xml:space="preserve">19 · Catálogos de almacén sin revisión</t>
  </si>
  <si>
    <t xml:space="preserve">Revisión N11</t>
  </si>
  <si>
    <t xml:space="preserve">N11: oct 2028</t>
  </si>
  <si>
    <t xml:space="preserve">Nuevo · Certificación antes de las Actuaciones preparatorias (D23)</t>
  </si>
  <si>
    <t xml:space="preserve">Certificación y modelo común de datos (N2)</t>
  </si>
  <si>
    <t xml:space="preserve">N2: 01/02 – 02/04/2027</t>
  </si>
  <si>
    <t xml:space="preserve">Nuevo · Construcción del software (C3) sin programar</t>
  </si>
  <si>
    <t xml:space="preserve">Cronograma C3 alineado a H1–H7 (DEC-9)</t>
  </si>
  <si>
    <t xml:space="preserve">31/01/2027 (solicitud)</t>
  </si>
  <si>
    <t xml:space="preserve">No resuelto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</si>
</sst>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/mm/yyyy"/>
    <numFmt numFmtId="167" formatCode="\+0;\-0;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4899"/>
      <name val="Montserrat"/>
      <family val="0"/>
      <charset val="1"/>
    </font>
    <font>
      <b val="true"/>
      <sz val="11"/>
      <color rgb="FFE6375D"/>
      <name val="Montserrat"/>
      <family val="0"/>
      <charset val="1"/>
    </font>
    <font>
      <sz val="9"/>
      <color rgb="FF4B4B4D"/>
      <name val="Montserrat"/>
      <family val="0"/>
      <charset val="1"/>
    </font>
    <font>
      <b val="true"/>
      <sz val="12"/>
      <color rgb="FF004899"/>
      <name val="Montserrat"/>
      <family val="0"/>
      <charset val="1"/>
    </font>
    <font>
      <b val="true"/>
      <sz val="14"/>
      <color rgb="FF004899"/>
      <name val="Montserrat"/>
      <family val="0"/>
      <charset val="1"/>
    </font>
    <font>
      <b val="true"/>
      <sz val="10"/>
      <color rgb="FFFFFFFF"/>
      <name val="Montserrat"/>
      <family val="0"/>
      <charset val="1"/>
    </font>
    <font>
      <b val="true"/>
      <sz val="9"/>
      <color rgb="FF004899"/>
      <name val="Montserrat"/>
      <family val="0"/>
      <charset val="1"/>
    </font>
    <font>
      <b val="true"/>
      <sz val="10"/>
      <color rgb="FFE6375D"/>
      <name val="Montserrat"/>
      <family val="0"/>
      <charset val="1"/>
    </font>
    <font>
      <i val="true"/>
      <sz val="9"/>
      <color rgb="FF4B4B4D"/>
      <name val="Montserrat"/>
      <family val="0"/>
      <charset val="1"/>
    </font>
    <font>
      <i val="true"/>
      <sz val="10"/>
      <color rgb="FF4B4B4D"/>
      <name val="Montserrat"/>
      <family val="0"/>
      <charset val="1"/>
    </font>
    <font>
      <b val="true"/>
      <sz val="9"/>
      <color rgb="FFE6375D"/>
      <name val="Montserrat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4899"/>
        <bgColor rgb="FF0066CC"/>
      </patternFill>
    </fill>
    <fill>
      <patternFill patternType="solid">
        <fgColor rgb="FFFFF4CC"/>
        <bgColor rgb="FFFDEBC8"/>
      </patternFill>
    </fill>
    <fill>
      <patternFill patternType="solid">
        <fgColor rgb="FFEEF1F5"/>
        <bgColor rgb="FFD8F0EE"/>
      </patternFill>
    </fill>
    <fill>
      <patternFill patternType="solid">
        <fgColor rgb="FFD8F0EE"/>
        <bgColor rgb="FFD6EC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04899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B4B4D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E6375D"/>
          <bgColor rgb="FF000000"/>
        </patternFill>
      </fill>
    </dxf>
    <dxf>
      <fill>
        <patternFill patternType="solid">
          <fgColor rgb="FFD6ECFE"/>
          <bgColor rgb="FF000000"/>
        </patternFill>
      </fill>
    </dxf>
    <dxf>
      <fill>
        <patternFill patternType="solid">
          <fgColor rgb="FFD8F0EE"/>
          <bgColor rgb="FF000000"/>
        </patternFill>
      </fill>
    </dxf>
    <dxf>
      <fill>
        <patternFill patternType="solid">
          <fgColor rgb="FFFDEBC8"/>
          <bgColor rgb="FF000000"/>
        </patternFill>
      </fill>
    </dxf>
    <dxf>
      <fill>
        <patternFill>
          <bgColor rgb="FFFBD5D6"/>
        </patternFill>
      </fill>
    </dxf>
    <dxf>
      <fill>
        <patternFill>
          <bgColor rgb="FFFDEBC8"/>
        </patternFill>
      </fill>
    </dxf>
    <dxf>
      <fill>
        <patternFill>
          <bgColor rgb="FFD6ECFE"/>
        </patternFill>
      </fill>
    </dxf>
    <dxf>
      <fill>
        <patternFill>
          <bgColor rgb="FFD8F0EE"/>
        </patternFill>
      </fill>
    </dxf>
    <dxf>
      <fill>
        <patternFill patternType="solid">
          <fgColor rgb="FFFBD5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6375D"/>
      <rgbColor rgb="FFFFF4CC"/>
      <rgbColor rgb="FFD8F0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CFE"/>
      <rgbColor rgb="FFEEF1F5"/>
      <rgbColor rgb="FFFDEBC8"/>
      <rgbColor rgb="FF99CCFF"/>
      <rgbColor rgb="FFFF99CC"/>
      <rgbColor rgb="FFCC99FF"/>
      <rgbColor rgb="FFFBD5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899"/>
      <rgbColor rgb="FF339966"/>
      <rgbColor rgb="FF003300"/>
      <rgbColor rgb="FF333300"/>
      <rgbColor rgb="FF993300"/>
      <rgbColor rgb="FF993366"/>
      <rgbColor rgb="FF333399"/>
      <rgbColor rgb="FF4B4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375D"/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23.8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375D"/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3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5" t="s">
        <v>16</v>
      </c>
    </row>
    <row r="3" customFormat="false" ht="25.35" hidden="false" customHeight="false" outlineLevel="0" collapsed="false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</row>
    <row r="4" customFormat="false" ht="15" hidden="false" customHeight="false" outlineLevel="0" collapsed="false">
      <c r="A4" s="7" t="s">
        <v>24</v>
      </c>
      <c r="B4" s="8" t="n">
        <f aca="false">COUNTIF('Matriz maestra'!$B$3:$B$43,A4)</f>
        <v>16</v>
      </c>
      <c r="C4" s="8" t="n">
        <f aca="false">COUNTIFS('Matriz maestra'!$B$3:$B$43,A4,'Matriz maestra'!$P$3:$P$43,"Alta")</f>
        <v>11</v>
      </c>
      <c r="D4" s="8" t="n">
        <f aca="false">COUNTIFS('Matriz maestra'!$B$3:$B$43,A4,'Matriz maestra'!$R$3:$R$43,"Calculada")</f>
        <v>10</v>
      </c>
      <c r="E4" s="8" t="n">
        <f aca="false">COUNTIFS('Matriz maestra'!$B$3:$B$43,A4,'Matriz maestra'!$R$3:$R$43,"Tentativa")</f>
        <v>6</v>
      </c>
      <c r="F4" s="8" t="n">
        <f aca="false">COUNTIFS('Matriz maestra'!$B$3:$B$43,A4,'Matriz maestra'!$R$3:$R$43,"Pendiente de decisión")</f>
        <v>0</v>
      </c>
      <c r="G4" s="8" t="n">
        <f aca="false">_xlfn.MAXIFS('Matriz maestra'!$K$3:$K$43,'Matriz maestra'!$B$3:$B$43,A4)</f>
        <v>177</v>
      </c>
    </row>
    <row r="5" customFormat="false" ht="15" hidden="false" customHeight="false" outlineLevel="0" collapsed="false">
      <c r="A5" s="7" t="s">
        <v>25</v>
      </c>
      <c r="B5" s="8" t="n">
        <f aca="false">COUNTIF('Matriz maestra'!$B$3:$B$43,A5)</f>
        <v>2</v>
      </c>
      <c r="C5" s="8" t="n">
        <f aca="false">COUNTIFS('Matriz maestra'!$B$3:$B$43,A5,'Matriz maestra'!$P$3:$P$43,"Alta")</f>
        <v>2</v>
      </c>
      <c r="D5" s="8" t="n">
        <f aca="false">COUNTIFS('Matriz maestra'!$B$3:$B$43,A5,'Matriz maestra'!$R$3:$R$43,"Calculada")</f>
        <v>0</v>
      </c>
      <c r="E5" s="8" t="n">
        <f aca="false">COUNTIFS('Matriz maestra'!$B$3:$B$43,A5,'Matriz maestra'!$R$3:$R$43,"Tentativa")</f>
        <v>1</v>
      </c>
      <c r="F5" s="8" t="n">
        <f aca="false">COUNTIFS('Matriz maestra'!$B$3:$B$43,A5,'Matriz maestra'!$R$3:$R$43,"Pendiente de decisión")</f>
        <v>1</v>
      </c>
      <c r="G5" s="8" t="n">
        <f aca="false">_xlfn.MAXIFS('Matriz maestra'!$K$3:$K$43,'Matriz maestra'!$B$3:$B$43,A5)</f>
        <v>6</v>
      </c>
    </row>
    <row r="6" customFormat="false" ht="15" hidden="false" customHeight="false" outlineLevel="0" collapsed="false">
      <c r="A6" s="7" t="s">
        <v>26</v>
      </c>
      <c r="B6" s="8" t="n">
        <f aca="false">COUNTIF('Matriz maestra'!$B$3:$B$43,A6)</f>
        <v>3</v>
      </c>
      <c r="C6" s="8" t="n">
        <f aca="false">COUNTIFS('Matriz maestra'!$B$3:$B$43,A6,'Matriz maestra'!$P$3:$P$43,"Alta")</f>
        <v>2</v>
      </c>
      <c r="D6" s="8" t="n">
        <f aca="false">COUNTIFS('Matriz maestra'!$B$3:$B$43,A6,'Matriz maestra'!$R$3:$R$43,"Calculada")</f>
        <v>0</v>
      </c>
      <c r="E6" s="8" t="n">
        <f aca="false">COUNTIFS('Matriz maestra'!$B$3:$B$43,A6,'Matriz maestra'!$R$3:$R$43,"Tentativa")</f>
        <v>3</v>
      </c>
      <c r="F6" s="8" t="n">
        <f aca="false">COUNTIFS('Matriz maestra'!$B$3:$B$43,A6,'Matriz maestra'!$R$3:$R$43,"Pendiente de decisión")</f>
        <v>0</v>
      </c>
      <c r="G6" s="8" t="n">
        <f aca="false">_xlfn.MAXIFS('Matriz maestra'!$K$3:$K$43,'Matriz maestra'!$B$3:$B$43,A6)</f>
        <v>0</v>
      </c>
    </row>
    <row r="7" customFormat="false" ht="15" hidden="false" customHeight="false" outlineLevel="0" collapsed="false">
      <c r="A7" s="7" t="s">
        <v>27</v>
      </c>
      <c r="B7" s="8" t="n">
        <f aca="false">COUNTIF('Matriz maestra'!$B$3:$B$43,A7)</f>
        <v>2</v>
      </c>
      <c r="C7" s="8" t="n">
        <f aca="false">COUNTIFS('Matriz maestra'!$B$3:$B$43,A7,'Matriz maestra'!$P$3:$P$43,"Alta")</f>
        <v>0</v>
      </c>
      <c r="D7" s="8" t="n">
        <f aca="false">COUNTIFS('Matriz maestra'!$B$3:$B$43,A7,'Matriz maestra'!$R$3:$R$43,"Calculada")</f>
        <v>1</v>
      </c>
      <c r="E7" s="8" t="n">
        <f aca="false">COUNTIFS('Matriz maestra'!$B$3:$B$43,A7,'Matriz maestra'!$R$3:$R$43,"Tentativa")</f>
        <v>1</v>
      </c>
      <c r="F7" s="8" t="n">
        <f aca="false">COUNTIFS('Matriz maestra'!$B$3:$B$43,A7,'Matriz maestra'!$R$3:$R$43,"Pendiente de decisión")</f>
        <v>0</v>
      </c>
      <c r="G7" s="8" t="n">
        <f aca="false">_xlfn.MAXIFS('Matriz maestra'!$K$3:$K$43,'Matriz maestra'!$B$3:$B$43,A7)</f>
        <v>30</v>
      </c>
    </row>
    <row r="8" customFormat="false" ht="15" hidden="false" customHeight="false" outlineLevel="0" collapsed="false">
      <c r="A8" s="7" t="s">
        <v>28</v>
      </c>
      <c r="B8" s="8" t="n">
        <f aca="false">COUNTIF('Matriz maestra'!$B$3:$B$43,A8)</f>
        <v>5</v>
      </c>
      <c r="C8" s="8" t="n">
        <f aca="false">COUNTIFS('Matriz maestra'!$B$3:$B$43,A8,'Matriz maestra'!$P$3:$P$43,"Alta")</f>
        <v>2</v>
      </c>
      <c r="D8" s="8" t="n">
        <f aca="false">COUNTIFS('Matriz maestra'!$B$3:$B$43,A8,'Matriz maestra'!$R$3:$R$43,"Calculada")</f>
        <v>3</v>
      </c>
      <c r="E8" s="8" t="n">
        <f aca="false">COUNTIFS('Matriz maestra'!$B$3:$B$43,A8,'Matriz maestra'!$R$3:$R$43,"Tentativa")</f>
        <v>2</v>
      </c>
      <c r="F8" s="8" t="n">
        <f aca="false">COUNTIFS('Matriz maestra'!$B$3:$B$43,A8,'Matriz maestra'!$R$3:$R$43,"Pendiente de decisión")</f>
        <v>0</v>
      </c>
      <c r="G8" s="8" t="n">
        <f aca="false">_xlfn.MAXIFS('Matriz maestra'!$K$3:$K$43,'Matriz maestra'!$B$3:$B$43,A8)</f>
        <v>42</v>
      </c>
    </row>
    <row r="9" customFormat="false" ht="15" hidden="false" customHeight="false" outlineLevel="0" collapsed="false">
      <c r="A9" s="7" t="s">
        <v>29</v>
      </c>
      <c r="B9" s="8" t="n">
        <f aca="false">COUNTIF('Matriz maestra'!$B$3:$B$43,A9)</f>
        <v>2</v>
      </c>
      <c r="C9" s="8" t="n">
        <f aca="false">COUNTIFS('Matriz maestra'!$B$3:$B$43,A9,'Matriz maestra'!$P$3:$P$43,"Alta")</f>
        <v>2</v>
      </c>
      <c r="D9" s="8" t="n">
        <f aca="false">COUNTIFS('Matriz maestra'!$B$3:$B$43,A9,'Matriz maestra'!$R$3:$R$43,"Calculada")</f>
        <v>0</v>
      </c>
      <c r="E9" s="8" t="n">
        <f aca="false">COUNTIFS('Matriz maestra'!$B$3:$B$43,A9,'Matriz maestra'!$R$3:$R$43,"Tentativa")</f>
        <v>2</v>
      </c>
      <c r="F9" s="8" t="n">
        <f aca="false">COUNTIFS('Matriz maestra'!$B$3:$B$43,A9,'Matriz maestra'!$R$3:$R$43,"Pendiente de decisión")</f>
        <v>0</v>
      </c>
      <c r="G9" s="8" t="n">
        <f aca="false">_xlfn.MAXIFS('Matriz maestra'!$K$3:$K$43,'Matriz maestra'!$B$3:$B$43,A9)</f>
        <v>0</v>
      </c>
    </row>
    <row r="10" customFormat="false" ht="15" hidden="false" customHeight="false" outlineLevel="0" collapsed="false">
      <c r="A10" s="7" t="s">
        <v>30</v>
      </c>
      <c r="B10" s="8" t="n">
        <f aca="false">COUNTIF('Matriz maestra'!$B$3:$B$43,A10)</f>
        <v>4</v>
      </c>
      <c r="C10" s="8" t="n">
        <f aca="false">COUNTIFS('Matriz maestra'!$B$3:$B$43,A10,'Matriz maestra'!$P$3:$P$43,"Alta")</f>
        <v>0</v>
      </c>
      <c r="D10" s="8" t="n">
        <f aca="false">COUNTIFS('Matriz maestra'!$B$3:$B$43,A10,'Matriz maestra'!$R$3:$R$43,"Calculada")</f>
        <v>0</v>
      </c>
      <c r="E10" s="8" t="n">
        <f aca="false">COUNTIFS('Matriz maestra'!$B$3:$B$43,A10,'Matriz maestra'!$R$3:$R$43,"Tentativa")</f>
        <v>4</v>
      </c>
      <c r="F10" s="8" t="n">
        <f aca="false">COUNTIFS('Matriz maestra'!$B$3:$B$43,A10,'Matriz maestra'!$R$3:$R$43,"Pendiente de decisión")</f>
        <v>0</v>
      </c>
      <c r="G10" s="8" t="n">
        <f aca="false">_xlfn.MAXIFS('Matriz maestra'!$K$3:$K$43,'Matriz maestra'!$B$3:$B$43,A10)</f>
        <v>0</v>
      </c>
    </row>
    <row r="11" customFormat="false" ht="15" hidden="false" customHeight="false" outlineLevel="0" collapsed="false">
      <c r="A11" s="7" t="s">
        <v>31</v>
      </c>
      <c r="B11" s="8" t="n">
        <f aca="false">COUNTIF('Matriz maestra'!$B$3:$B$43,A11)</f>
        <v>7</v>
      </c>
      <c r="C11" s="8" t="n">
        <f aca="false">COUNTIFS('Matriz maestra'!$B$3:$B$43,A11,'Matriz maestra'!$P$3:$P$43,"Alta")</f>
        <v>7</v>
      </c>
      <c r="D11" s="8" t="n">
        <f aca="false">COUNTIFS('Matriz maestra'!$B$3:$B$43,A11,'Matriz maestra'!$R$3:$R$43,"Calculada")</f>
        <v>7</v>
      </c>
      <c r="E11" s="8" t="n">
        <f aca="false">COUNTIFS('Matriz maestra'!$B$3:$B$43,A11,'Matriz maestra'!$R$3:$R$43,"Tentativa")</f>
        <v>0</v>
      </c>
      <c r="F11" s="8" t="n">
        <f aca="false">COUNTIFS('Matriz maestra'!$B$3:$B$43,A11,'Matriz maestra'!$R$3:$R$43,"Pendiente de decisión")</f>
        <v>0</v>
      </c>
      <c r="G11" s="8" t="n">
        <f aca="false">_xlfn.MAXIFS('Matriz maestra'!$K$3:$K$43,'Matriz maestra'!$B$3:$B$43,A11)</f>
        <v>0</v>
      </c>
    </row>
    <row r="12" customFormat="false" ht="15" hidden="false" customHeight="false" outlineLevel="0" collapsed="false">
      <c r="A12" s="9" t="s">
        <v>32</v>
      </c>
      <c r="B12" s="10" t="n">
        <f aca="false">SUM(B4:B11)</f>
        <v>41</v>
      </c>
      <c r="C12" s="10" t="n">
        <f aca="false">SUM(C4:C11)</f>
        <v>26</v>
      </c>
      <c r="D12" s="10" t="n">
        <f aca="false">SUM(D4:D11)</f>
        <v>21</v>
      </c>
      <c r="E12" s="10" t="n">
        <f aca="false">SUM(E4:E11)</f>
        <v>19</v>
      </c>
      <c r="F12" s="10" t="n">
        <f aca="false">SUM(F4:F11)</f>
        <v>1</v>
      </c>
    </row>
    <row r="14" customFormat="false" ht="15" hidden="false" customHeight="false" outlineLevel="0" collapsed="false">
      <c r="A14" s="1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899"/>
    <pageSetUpPr fitToPage="false"/>
  </sheetPr>
  <dimension ref="A1:T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44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2" min="10" style="0" width="11"/>
    <col collapsed="false" customWidth="true" hidden="false" outlineLevel="0" max="13" min="13" style="0" width="26"/>
    <col collapsed="false" customWidth="true" hidden="false" outlineLevel="0" max="14" min="14" style="0" width="16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26"/>
    <col collapsed="false" customWidth="true" hidden="false" outlineLevel="0" max="18" min="18" style="0" width="16"/>
    <col collapsed="false" customWidth="true" hidden="false" outlineLevel="0" max="19" min="19" style="0" width="9"/>
    <col collapsed="false" customWidth="true" hidden="false" outlineLevel="0" max="20" min="20" style="0" width="60"/>
  </cols>
  <sheetData>
    <row r="1" customFormat="false" ht="30" hidden="false" customHeight="true" outlineLevel="0" collapsed="false">
      <c r="A1" s="12" t="s">
        <v>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customFormat="false" ht="31.5" hidden="false" customHeight="true" outlineLevel="0" collapsed="false">
      <c r="A2" s="6" t="s">
        <v>35</v>
      </c>
      <c r="B2" s="6" t="s">
        <v>17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6" t="s">
        <v>42</v>
      </c>
      <c r="J2" s="6" t="s">
        <v>43</v>
      </c>
      <c r="K2" s="6" t="s">
        <v>44</v>
      </c>
      <c r="L2" s="6" t="s">
        <v>45</v>
      </c>
      <c r="M2" s="6" t="s">
        <v>46</v>
      </c>
      <c r="N2" s="6" t="s">
        <v>47</v>
      </c>
      <c r="O2" s="6" t="s">
        <v>48</v>
      </c>
      <c r="P2" s="6" t="s">
        <v>49</v>
      </c>
      <c r="Q2" s="6" t="s">
        <v>50</v>
      </c>
      <c r="R2" s="6" t="s">
        <v>51</v>
      </c>
      <c r="S2" s="6" t="s">
        <v>52</v>
      </c>
      <c r="T2" s="6" t="s">
        <v>53</v>
      </c>
    </row>
    <row r="3" customFormat="false" ht="23.85" hidden="false" customHeight="false" outlineLevel="0" collapsed="false">
      <c r="A3" s="13" t="s">
        <v>54</v>
      </c>
      <c r="B3" s="14" t="s">
        <v>26</v>
      </c>
      <c r="C3" s="14" t="s">
        <v>55</v>
      </c>
      <c r="D3" s="14" t="s">
        <v>56</v>
      </c>
      <c r="E3" s="14" t="s">
        <v>57</v>
      </c>
      <c r="F3" s="14"/>
      <c r="G3" s="14"/>
      <c r="H3" s="15" t="n">
        <v>46567</v>
      </c>
      <c r="I3" s="15" t="n">
        <v>46567</v>
      </c>
      <c r="J3" s="16" t="str">
        <f aca="false">IF(AND(F3&lt;&gt;"",H3&lt;&gt;""),H3-F3,"")</f>
        <v/>
      </c>
      <c r="K3" s="16" t="str">
        <f aca="false">IF(AND(G3&lt;&gt;"",I3&lt;&gt;""),I3-G3,"")</f>
        <v/>
      </c>
      <c r="L3" s="8" t="n">
        <v>0</v>
      </c>
      <c r="M3" s="14" t="s">
        <v>58</v>
      </c>
      <c r="N3" s="14" t="s">
        <v>59</v>
      </c>
      <c r="O3" s="14" t="s">
        <v>60</v>
      </c>
      <c r="P3" s="17" t="s">
        <v>61</v>
      </c>
      <c r="Q3" s="17" t="s">
        <v>62</v>
      </c>
      <c r="R3" s="17" t="s">
        <v>63</v>
      </c>
      <c r="S3" s="14" t="s">
        <v>64</v>
      </c>
      <c r="T3" s="14" t="s">
        <v>65</v>
      </c>
    </row>
    <row r="4" customFormat="false" ht="23.85" hidden="false" customHeight="false" outlineLevel="0" collapsed="false">
      <c r="A4" s="18" t="s">
        <v>66</v>
      </c>
      <c r="B4" s="19" t="s">
        <v>26</v>
      </c>
      <c r="C4" s="19" t="s">
        <v>55</v>
      </c>
      <c r="D4" s="19" t="s">
        <v>67</v>
      </c>
      <c r="E4" s="19" t="s">
        <v>57</v>
      </c>
      <c r="F4" s="19"/>
      <c r="G4" s="19"/>
      <c r="H4" s="15" t="n">
        <v>46689</v>
      </c>
      <c r="I4" s="15" t="n">
        <v>46689</v>
      </c>
      <c r="J4" s="20" t="str">
        <f aca="false">IF(AND(F4&lt;&gt;"",H4&lt;&gt;""),H4-F4,"")</f>
        <v/>
      </c>
      <c r="K4" s="20" t="str">
        <f aca="false">IF(AND(G4&lt;&gt;"",I4&lt;&gt;""),I4-G4,"")</f>
        <v/>
      </c>
      <c r="L4" s="21" t="n">
        <v>0</v>
      </c>
      <c r="M4" s="19" t="s">
        <v>68</v>
      </c>
      <c r="N4" s="19" t="s">
        <v>69</v>
      </c>
      <c r="O4" s="19" t="s">
        <v>60</v>
      </c>
      <c r="P4" s="17" t="s">
        <v>61</v>
      </c>
      <c r="Q4" s="17" t="s">
        <v>62</v>
      </c>
      <c r="R4" s="17" t="s">
        <v>63</v>
      </c>
      <c r="S4" s="19" t="s">
        <v>64</v>
      </c>
      <c r="T4" s="19" t="s">
        <v>70</v>
      </c>
    </row>
    <row r="5" customFormat="false" ht="23.85" hidden="false" customHeight="false" outlineLevel="0" collapsed="false">
      <c r="A5" s="13" t="s">
        <v>71</v>
      </c>
      <c r="B5" s="14" t="s">
        <v>29</v>
      </c>
      <c r="C5" s="14" t="s">
        <v>72</v>
      </c>
      <c r="D5" s="14" t="s">
        <v>73</v>
      </c>
      <c r="E5" s="14" t="s">
        <v>57</v>
      </c>
      <c r="F5" s="14"/>
      <c r="G5" s="14"/>
      <c r="H5" s="15" t="n">
        <v>46356</v>
      </c>
      <c r="I5" s="15" t="n">
        <v>46356</v>
      </c>
      <c r="J5" s="16" t="str">
        <f aca="false">IF(AND(F5&lt;&gt;"",H5&lt;&gt;""),H5-F5,"")</f>
        <v/>
      </c>
      <c r="K5" s="16" t="str">
        <f aca="false">IF(AND(G5&lt;&gt;"",I5&lt;&gt;""),I5-G5,"")</f>
        <v/>
      </c>
      <c r="L5" s="8" t="n">
        <v>0</v>
      </c>
      <c r="M5" s="14" t="s">
        <v>74</v>
      </c>
      <c r="N5" s="14" t="s">
        <v>75</v>
      </c>
      <c r="O5" s="14" t="s">
        <v>76</v>
      </c>
      <c r="P5" s="17" t="s">
        <v>61</v>
      </c>
      <c r="Q5" s="17" t="s">
        <v>77</v>
      </c>
      <c r="R5" s="17" t="s">
        <v>63</v>
      </c>
      <c r="S5" s="14" t="s">
        <v>64</v>
      </c>
      <c r="T5" s="14" t="s">
        <v>78</v>
      </c>
    </row>
    <row r="6" customFormat="false" ht="23.85" hidden="false" customHeight="false" outlineLevel="0" collapsed="false">
      <c r="A6" s="18" t="s">
        <v>79</v>
      </c>
      <c r="B6" s="19" t="s">
        <v>29</v>
      </c>
      <c r="C6" s="19" t="s">
        <v>80</v>
      </c>
      <c r="D6" s="19" t="s">
        <v>81</v>
      </c>
      <c r="E6" s="19" t="s">
        <v>57</v>
      </c>
      <c r="F6" s="19"/>
      <c r="G6" s="19"/>
      <c r="H6" s="15" t="n">
        <v>46402</v>
      </c>
      <c r="I6" s="15" t="n">
        <v>46402</v>
      </c>
      <c r="J6" s="20" t="str">
        <f aca="false">IF(AND(F6&lt;&gt;"",H6&lt;&gt;""),H6-F6,"")</f>
        <v/>
      </c>
      <c r="K6" s="20" t="str">
        <f aca="false">IF(AND(G6&lt;&gt;"",I6&lt;&gt;""),I6-G6,"")</f>
        <v/>
      </c>
      <c r="L6" s="21" t="n">
        <v>0</v>
      </c>
      <c r="M6" s="19" t="s">
        <v>82</v>
      </c>
      <c r="N6" s="19" t="s">
        <v>83</v>
      </c>
      <c r="O6" s="19" t="s">
        <v>84</v>
      </c>
      <c r="P6" s="17" t="s">
        <v>61</v>
      </c>
      <c r="Q6" s="17" t="s">
        <v>85</v>
      </c>
      <c r="R6" s="17" t="s">
        <v>63</v>
      </c>
      <c r="S6" s="19" t="s">
        <v>64</v>
      </c>
      <c r="T6" s="19" t="s">
        <v>86</v>
      </c>
    </row>
    <row r="7" customFormat="false" ht="23.85" hidden="false" customHeight="false" outlineLevel="0" collapsed="false">
      <c r="A7" s="13" t="s">
        <v>87</v>
      </c>
      <c r="B7" s="14" t="s">
        <v>25</v>
      </c>
      <c r="C7" s="14" t="s">
        <v>80</v>
      </c>
      <c r="D7" s="14" t="s">
        <v>88</v>
      </c>
      <c r="E7" s="14" t="s">
        <v>89</v>
      </c>
      <c r="F7" s="22" t="n">
        <v>46266</v>
      </c>
      <c r="G7" s="22" t="n">
        <v>46356</v>
      </c>
      <c r="H7" s="15" t="n">
        <v>46266</v>
      </c>
      <c r="I7" s="15" t="n">
        <v>46360</v>
      </c>
      <c r="J7" s="16" t="n">
        <f aca="false">IF(AND(F7&lt;&gt;"",H7&lt;&gt;""),H7-F7,"")</f>
        <v>0</v>
      </c>
      <c r="K7" s="16" t="n">
        <f aca="false">IF(AND(G7&lt;&gt;"",I7&lt;&gt;""),I7-G7,"")</f>
        <v>4</v>
      </c>
      <c r="L7" s="8" t="n">
        <v>65</v>
      </c>
      <c r="M7" s="14"/>
      <c r="N7" s="14" t="s">
        <v>90</v>
      </c>
      <c r="O7" s="14" t="s">
        <v>76</v>
      </c>
      <c r="P7" s="17" t="s">
        <v>61</v>
      </c>
      <c r="Q7" s="17" t="s">
        <v>91</v>
      </c>
      <c r="R7" s="17" t="s">
        <v>92</v>
      </c>
      <c r="S7" s="14" t="s">
        <v>64</v>
      </c>
      <c r="T7" s="14" t="s">
        <v>93</v>
      </c>
    </row>
    <row r="8" customFormat="false" ht="23.85" hidden="false" customHeight="false" outlineLevel="0" collapsed="false">
      <c r="A8" s="18" t="s">
        <v>90</v>
      </c>
      <c r="B8" s="19" t="s">
        <v>25</v>
      </c>
      <c r="C8" s="19" t="s">
        <v>80</v>
      </c>
      <c r="D8" s="19" t="s">
        <v>94</v>
      </c>
      <c r="E8" s="19" t="s">
        <v>95</v>
      </c>
      <c r="F8" s="23" t="n">
        <v>46357</v>
      </c>
      <c r="G8" s="23" t="n">
        <v>46417</v>
      </c>
      <c r="H8" s="15" t="n">
        <v>46363</v>
      </c>
      <c r="I8" s="15" t="n">
        <v>46423</v>
      </c>
      <c r="J8" s="20" t="n">
        <f aca="false">IF(AND(F8&lt;&gt;"",H8&lt;&gt;""),H8-F8,"")</f>
        <v>6</v>
      </c>
      <c r="K8" s="20" t="n">
        <f aca="false">IF(AND(G8&lt;&gt;"",I8&lt;&gt;""),I8-G8,"")</f>
        <v>6</v>
      </c>
      <c r="L8" s="21" t="n">
        <v>45</v>
      </c>
      <c r="M8" s="19" t="s">
        <v>96</v>
      </c>
      <c r="N8" s="19" t="s">
        <v>97</v>
      </c>
      <c r="O8" s="19" t="s">
        <v>76</v>
      </c>
      <c r="P8" s="17" t="s">
        <v>61</v>
      </c>
      <c r="Q8" s="17" t="s">
        <v>91</v>
      </c>
      <c r="R8" s="17" t="s">
        <v>63</v>
      </c>
      <c r="S8" s="19" t="s">
        <v>64</v>
      </c>
      <c r="T8" s="19" t="s">
        <v>98</v>
      </c>
    </row>
    <row r="9" customFormat="false" ht="23.85" hidden="false" customHeight="false" outlineLevel="0" collapsed="false">
      <c r="A9" s="13" t="s">
        <v>99</v>
      </c>
      <c r="B9" s="14" t="s">
        <v>24</v>
      </c>
      <c r="C9" s="14" t="s">
        <v>72</v>
      </c>
      <c r="D9" s="14" t="s">
        <v>100</v>
      </c>
      <c r="E9" s="14" t="s">
        <v>101</v>
      </c>
      <c r="F9" s="22" t="n">
        <v>45980</v>
      </c>
      <c r="G9" s="22" t="n">
        <v>46177</v>
      </c>
      <c r="H9" s="15" t="n">
        <v>45980</v>
      </c>
      <c r="I9" s="15" t="n">
        <v>46339</v>
      </c>
      <c r="J9" s="16" t="n">
        <f aca="false">IF(AND(F9&lt;&gt;"",H9&lt;&gt;""),H9-F9,"")</f>
        <v>0</v>
      </c>
      <c r="K9" s="16" t="n">
        <f aca="false">IF(AND(G9&lt;&gt;"",I9&lt;&gt;""),I9-G9,"")</f>
        <v>162</v>
      </c>
      <c r="L9" s="8" t="n">
        <v>142</v>
      </c>
      <c r="M9" s="14"/>
      <c r="N9" s="14" t="s">
        <v>102</v>
      </c>
      <c r="O9" s="14" t="s">
        <v>84</v>
      </c>
      <c r="P9" s="17" t="s">
        <v>61</v>
      </c>
      <c r="Q9" s="17" t="s">
        <v>103</v>
      </c>
      <c r="R9" s="17" t="s">
        <v>104</v>
      </c>
      <c r="S9" s="14" t="s">
        <v>64</v>
      </c>
      <c r="T9" s="14" t="s">
        <v>105</v>
      </c>
    </row>
    <row r="10" customFormat="false" ht="23.85" hidden="false" customHeight="false" outlineLevel="0" collapsed="false">
      <c r="A10" s="18" t="s">
        <v>106</v>
      </c>
      <c r="B10" s="19" t="s">
        <v>24</v>
      </c>
      <c r="C10" s="19" t="s">
        <v>72</v>
      </c>
      <c r="D10" s="19" t="s">
        <v>107</v>
      </c>
      <c r="E10" s="19" t="s">
        <v>101</v>
      </c>
      <c r="F10" s="23" t="n">
        <v>45999</v>
      </c>
      <c r="G10" s="23" t="n">
        <v>46162</v>
      </c>
      <c r="H10" s="15" t="n">
        <v>45999</v>
      </c>
      <c r="I10" s="15" t="n">
        <v>46339</v>
      </c>
      <c r="J10" s="20" t="n">
        <f aca="false">IF(AND(F10&lt;&gt;"",H10&lt;&gt;""),H10-F10,"")</f>
        <v>0</v>
      </c>
      <c r="K10" s="20" t="n">
        <f aca="false">IF(AND(G10&lt;&gt;"",I10&lt;&gt;""),I10-G10,"")</f>
        <v>177</v>
      </c>
      <c r="L10" s="21" t="n">
        <v>118</v>
      </c>
      <c r="M10" s="19"/>
      <c r="N10" s="19"/>
      <c r="O10" s="19" t="s">
        <v>84</v>
      </c>
      <c r="P10" s="17" t="s">
        <v>61</v>
      </c>
      <c r="Q10" s="17" t="s">
        <v>103</v>
      </c>
      <c r="R10" s="17" t="s">
        <v>104</v>
      </c>
      <c r="S10" s="19" t="s">
        <v>64</v>
      </c>
      <c r="T10" s="19" t="s">
        <v>105</v>
      </c>
    </row>
    <row r="11" customFormat="false" ht="23.85" hidden="false" customHeight="false" outlineLevel="0" collapsed="false">
      <c r="A11" s="13" t="s">
        <v>108</v>
      </c>
      <c r="B11" s="14" t="s">
        <v>24</v>
      </c>
      <c r="C11" s="14" t="s">
        <v>72</v>
      </c>
      <c r="D11" s="14" t="s">
        <v>109</v>
      </c>
      <c r="E11" s="14" t="s">
        <v>101</v>
      </c>
      <c r="F11" s="22" t="n">
        <v>46063</v>
      </c>
      <c r="G11" s="22" t="n">
        <v>46176</v>
      </c>
      <c r="H11" s="15" t="n">
        <v>46063</v>
      </c>
      <c r="I11" s="15" t="n">
        <v>46339</v>
      </c>
      <c r="J11" s="16" t="n">
        <f aca="false">IF(AND(F11&lt;&gt;"",H11&lt;&gt;""),H11-F11,"")</f>
        <v>0</v>
      </c>
      <c r="K11" s="16" t="n">
        <f aca="false">IF(AND(G11&lt;&gt;"",I11&lt;&gt;""),I11-G11,"")</f>
        <v>163</v>
      </c>
      <c r="L11" s="8" t="n">
        <v>82</v>
      </c>
      <c r="M11" s="14"/>
      <c r="N11" s="14"/>
      <c r="O11" s="14" t="s">
        <v>84</v>
      </c>
      <c r="P11" s="17" t="s">
        <v>61</v>
      </c>
      <c r="Q11" s="17" t="s">
        <v>103</v>
      </c>
      <c r="R11" s="17" t="s">
        <v>104</v>
      </c>
      <c r="S11" s="14" t="s">
        <v>64</v>
      </c>
      <c r="T11" s="14" t="s">
        <v>105</v>
      </c>
    </row>
    <row r="12" customFormat="false" ht="23.85" hidden="false" customHeight="false" outlineLevel="0" collapsed="false">
      <c r="A12" s="18" t="s">
        <v>110</v>
      </c>
      <c r="B12" s="19" t="s">
        <v>24</v>
      </c>
      <c r="C12" s="19" t="s">
        <v>72</v>
      </c>
      <c r="D12" s="19" t="s">
        <v>111</v>
      </c>
      <c r="E12" s="19" t="s">
        <v>101</v>
      </c>
      <c r="F12" s="23" t="n">
        <v>46118</v>
      </c>
      <c r="G12" s="23" t="n">
        <v>46265</v>
      </c>
      <c r="H12" s="15" t="n">
        <v>46118</v>
      </c>
      <c r="I12" s="15" t="n">
        <v>46339</v>
      </c>
      <c r="J12" s="20" t="n">
        <f aca="false">IF(AND(F12&lt;&gt;"",H12&lt;&gt;""),H12-F12,"")</f>
        <v>0</v>
      </c>
      <c r="K12" s="20" t="n">
        <f aca="false">IF(AND(G12&lt;&gt;"",I12&lt;&gt;""),I12-G12,"")</f>
        <v>74</v>
      </c>
      <c r="L12" s="21" t="n">
        <v>106</v>
      </c>
      <c r="M12" s="19"/>
      <c r="N12" s="19"/>
      <c r="O12" s="19" t="s">
        <v>84</v>
      </c>
      <c r="P12" s="17" t="s">
        <v>61</v>
      </c>
      <c r="Q12" s="17" t="s">
        <v>103</v>
      </c>
      <c r="R12" s="17" t="s">
        <v>104</v>
      </c>
      <c r="S12" s="19" t="s">
        <v>64</v>
      </c>
      <c r="T12" s="19" t="s">
        <v>105</v>
      </c>
    </row>
    <row r="13" customFormat="false" ht="23.85" hidden="false" customHeight="false" outlineLevel="0" collapsed="false">
      <c r="A13" s="13" t="s">
        <v>112</v>
      </c>
      <c r="B13" s="14" t="s">
        <v>24</v>
      </c>
      <c r="C13" s="14" t="s">
        <v>72</v>
      </c>
      <c r="D13" s="14" t="s">
        <v>113</v>
      </c>
      <c r="E13" s="14" t="s">
        <v>101</v>
      </c>
      <c r="F13" s="22" t="n">
        <v>46118</v>
      </c>
      <c r="G13" s="22" t="n">
        <v>46265</v>
      </c>
      <c r="H13" s="15" t="n">
        <v>46118</v>
      </c>
      <c r="I13" s="15" t="n">
        <v>46339</v>
      </c>
      <c r="J13" s="16" t="n">
        <f aca="false">IF(AND(F13&lt;&gt;"",H13&lt;&gt;""),H13-F13,"")</f>
        <v>0</v>
      </c>
      <c r="K13" s="16" t="n">
        <f aca="false">IF(AND(G13&lt;&gt;"",I13&lt;&gt;""),I13-G13,"")</f>
        <v>74</v>
      </c>
      <c r="L13" s="8" t="n">
        <v>106</v>
      </c>
      <c r="M13" s="14"/>
      <c r="N13" s="14"/>
      <c r="O13" s="14" t="s">
        <v>84</v>
      </c>
      <c r="P13" s="17" t="s">
        <v>61</v>
      </c>
      <c r="Q13" s="17" t="s">
        <v>103</v>
      </c>
      <c r="R13" s="17" t="s">
        <v>104</v>
      </c>
      <c r="S13" s="14" t="s">
        <v>64</v>
      </c>
      <c r="T13" s="14" t="s">
        <v>105</v>
      </c>
    </row>
    <row r="14" customFormat="false" ht="23.85" hidden="false" customHeight="false" outlineLevel="0" collapsed="false">
      <c r="A14" s="18" t="s">
        <v>114</v>
      </c>
      <c r="B14" s="19" t="s">
        <v>24</v>
      </c>
      <c r="C14" s="19" t="s">
        <v>72</v>
      </c>
      <c r="D14" s="19" t="s">
        <v>115</v>
      </c>
      <c r="E14" s="19" t="s">
        <v>101</v>
      </c>
      <c r="F14" s="23" t="n">
        <v>46266</v>
      </c>
      <c r="G14" s="23" t="n">
        <v>46295</v>
      </c>
      <c r="H14" s="15" t="n">
        <v>46266</v>
      </c>
      <c r="I14" s="15" t="n">
        <v>46339</v>
      </c>
      <c r="J14" s="20" t="n">
        <f aca="false">IF(AND(F14&lt;&gt;"",H14&lt;&gt;""),H14-F14,"")</f>
        <v>0</v>
      </c>
      <c r="K14" s="20" t="n">
        <f aca="false">IF(AND(G14&lt;&gt;"",I14&lt;&gt;""),I14-G14,"")</f>
        <v>44</v>
      </c>
      <c r="L14" s="21" t="n">
        <v>22</v>
      </c>
      <c r="M14" s="19"/>
      <c r="N14" s="19"/>
      <c r="O14" s="19" t="s">
        <v>84</v>
      </c>
      <c r="P14" s="17" t="s">
        <v>61</v>
      </c>
      <c r="Q14" s="17" t="s">
        <v>103</v>
      </c>
      <c r="R14" s="17" t="s">
        <v>104</v>
      </c>
      <c r="S14" s="19" t="s">
        <v>64</v>
      </c>
      <c r="T14" s="19" t="s">
        <v>105</v>
      </c>
    </row>
    <row r="15" customFormat="false" ht="35.05" hidden="false" customHeight="false" outlineLevel="0" collapsed="false">
      <c r="A15" s="13" t="s">
        <v>102</v>
      </c>
      <c r="B15" s="14" t="s">
        <v>24</v>
      </c>
      <c r="C15" s="14" t="s">
        <v>72</v>
      </c>
      <c r="D15" s="14" t="s">
        <v>116</v>
      </c>
      <c r="E15" s="14" t="s">
        <v>57</v>
      </c>
      <c r="F15" s="14"/>
      <c r="G15" s="14"/>
      <c r="H15" s="15" t="n">
        <v>46402</v>
      </c>
      <c r="I15" s="15" t="n">
        <v>46402</v>
      </c>
      <c r="J15" s="16" t="str">
        <f aca="false">IF(AND(F15&lt;&gt;"",H15&lt;&gt;""),H15-F15,"")</f>
        <v/>
      </c>
      <c r="K15" s="16" t="str">
        <f aca="false">IF(AND(G15&lt;&gt;"",I15&lt;&gt;""),I15-G15,"")</f>
        <v/>
      </c>
      <c r="L15" s="8" t="n">
        <v>0</v>
      </c>
      <c r="M15" s="14" t="s">
        <v>117</v>
      </c>
      <c r="N15" s="14" t="s">
        <v>118</v>
      </c>
      <c r="O15" s="14" t="s">
        <v>84</v>
      </c>
      <c r="P15" s="17" t="s">
        <v>61</v>
      </c>
      <c r="Q15" s="17" t="s">
        <v>103</v>
      </c>
      <c r="R15" s="17" t="s">
        <v>63</v>
      </c>
      <c r="S15" s="14" t="s">
        <v>64</v>
      </c>
      <c r="T15" s="14" t="s">
        <v>119</v>
      </c>
    </row>
    <row r="16" customFormat="false" ht="23.85" hidden="false" customHeight="false" outlineLevel="0" collapsed="false">
      <c r="A16" s="18" t="s">
        <v>120</v>
      </c>
      <c r="B16" s="19" t="s">
        <v>24</v>
      </c>
      <c r="C16" s="19" t="s">
        <v>80</v>
      </c>
      <c r="D16" s="19" t="s">
        <v>121</v>
      </c>
      <c r="E16" s="19" t="s">
        <v>57</v>
      </c>
      <c r="F16" s="19"/>
      <c r="G16" s="19"/>
      <c r="H16" s="15" t="n">
        <v>46402</v>
      </c>
      <c r="I16" s="15" t="n">
        <v>46402</v>
      </c>
      <c r="J16" s="20" t="str">
        <f aca="false">IF(AND(F16&lt;&gt;"",H16&lt;&gt;""),H16-F16,"")</f>
        <v/>
      </c>
      <c r="K16" s="20" t="str">
        <f aca="false">IF(AND(G16&lt;&gt;"",I16&lt;&gt;""),I16-G16,"")</f>
        <v/>
      </c>
      <c r="L16" s="21" t="n">
        <v>0</v>
      </c>
      <c r="M16" s="19" t="s">
        <v>122</v>
      </c>
      <c r="N16" s="19" t="s">
        <v>83</v>
      </c>
      <c r="O16" s="19" t="s">
        <v>84</v>
      </c>
      <c r="P16" s="17" t="s">
        <v>61</v>
      </c>
      <c r="Q16" s="17" t="s">
        <v>103</v>
      </c>
      <c r="R16" s="17" t="s">
        <v>63</v>
      </c>
      <c r="S16" s="19" t="s">
        <v>64</v>
      </c>
      <c r="T16" s="19" t="s">
        <v>123</v>
      </c>
    </row>
    <row r="17" customFormat="false" ht="35.05" hidden="false" customHeight="false" outlineLevel="0" collapsed="false">
      <c r="A17" s="13" t="s">
        <v>124</v>
      </c>
      <c r="B17" s="14" t="s">
        <v>24</v>
      </c>
      <c r="C17" s="14" t="s">
        <v>55</v>
      </c>
      <c r="D17" s="14" t="s">
        <v>125</v>
      </c>
      <c r="E17" s="14" t="s">
        <v>126</v>
      </c>
      <c r="F17" s="14"/>
      <c r="G17" s="14"/>
      <c r="H17" s="15" t="n">
        <v>46419</v>
      </c>
      <c r="I17" s="15" t="n">
        <v>46479</v>
      </c>
      <c r="J17" s="16" t="str">
        <f aca="false">IF(AND(F17&lt;&gt;"",H17&lt;&gt;""),H17-F17,"")</f>
        <v/>
      </c>
      <c r="K17" s="16" t="str">
        <f aca="false">IF(AND(G17&lt;&gt;"",I17&lt;&gt;""),I17-G17,"")</f>
        <v/>
      </c>
      <c r="L17" s="8" t="n">
        <v>45</v>
      </c>
      <c r="M17" s="14"/>
      <c r="N17" s="14" t="s">
        <v>127</v>
      </c>
      <c r="O17" s="14" t="s">
        <v>60</v>
      </c>
      <c r="P17" s="17" t="s">
        <v>61</v>
      </c>
      <c r="Q17" s="17" t="s">
        <v>128</v>
      </c>
      <c r="R17" s="17" t="s">
        <v>63</v>
      </c>
      <c r="S17" s="14" t="s">
        <v>64</v>
      </c>
      <c r="T17" s="14" t="s">
        <v>129</v>
      </c>
    </row>
    <row r="18" customFormat="false" ht="23.85" hidden="false" customHeight="false" outlineLevel="0" collapsed="false">
      <c r="A18" s="18" t="s">
        <v>59</v>
      </c>
      <c r="B18" s="19" t="s">
        <v>24</v>
      </c>
      <c r="C18" s="19" t="s">
        <v>55</v>
      </c>
      <c r="D18" s="19" t="s">
        <v>130</v>
      </c>
      <c r="E18" s="19" t="s">
        <v>131</v>
      </c>
      <c r="F18" s="23" t="n">
        <v>46539</v>
      </c>
      <c r="G18" s="23" t="n">
        <v>46599</v>
      </c>
      <c r="H18" s="15" t="n">
        <v>46568</v>
      </c>
      <c r="I18" s="15" t="n">
        <v>46630</v>
      </c>
      <c r="J18" s="20" t="n">
        <f aca="false">IF(AND(F18&lt;&gt;"",H18&lt;&gt;""),H18-F18,"")</f>
        <v>29</v>
      </c>
      <c r="K18" s="20" t="n">
        <f aca="false">IF(AND(G18&lt;&gt;"",I18&lt;&gt;""),I18-G18,"")</f>
        <v>31</v>
      </c>
      <c r="L18" s="21" t="n">
        <v>45</v>
      </c>
      <c r="M18" s="19" t="s">
        <v>132</v>
      </c>
      <c r="N18" s="19" t="s">
        <v>133</v>
      </c>
      <c r="O18" s="19" t="s">
        <v>60</v>
      </c>
      <c r="P18" s="17" t="s">
        <v>61</v>
      </c>
      <c r="Q18" s="17" t="s">
        <v>103</v>
      </c>
      <c r="R18" s="17" t="s">
        <v>63</v>
      </c>
      <c r="S18" s="19" t="s">
        <v>64</v>
      </c>
      <c r="T18" s="19" t="s">
        <v>134</v>
      </c>
    </row>
    <row r="19" customFormat="false" ht="23.85" hidden="false" customHeight="false" outlineLevel="0" collapsed="false">
      <c r="A19" s="13" t="s">
        <v>69</v>
      </c>
      <c r="B19" s="14" t="s">
        <v>24</v>
      </c>
      <c r="C19" s="14" t="s">
        <v>55</v>
      </c>
      <c r="D19" s="14" t="s">
        <v>135</v>
      </c>
      <c r="E19" s="14" t="s">
        <v>126</v>
      </c>
      <c r="F19" s="14"/>
      <c r="G19" s="14"/>
      <c r="H19" s="15" t="n">
        <v>46692</v>
      </c>
      <c r="I19" s="15" t="n">
        <v>46745</v>
      </c>
      <c r="J19" s="16" t="str">
        <f aca="false">IF(AND(F19&lt;&gt;"",H19&lt;&gt;""),H19-F19,"")</f>
        <v/>
      </c>
      <c r="K19" s="16" t="str">
        <f aca="false">IF(AND(G19&lt;&gt;"",I19&lt;&gt;""),I19-G19,"")</f>
        <v/>
      </c>
      <c r="L19" s="8" t="n">
        <v>40</v>
      </c>
      <c r="M19" s="14" t="s">
        <v>136</v>
      </c>
      <c r="N19" s="14" t="s">
        <v>137</v>
      </c>
      <c r="O19" s="14" t="s">
        <v>60</v>
      </c>
      <c r="P19" s="17" t="s">
        <v>61</v>
      </c>
      <c r="Q19" s="17" t="s">
        <v>138</v>
      </c>
      <c r="R19" s="17" t="s">
        <v>63</v>
      </c>
      <c r="S19" s="14" t="s">
        <v>64</v>
      </c>
      <c r="T19" s="14" t="s">
        <v>139</v>
      </c>
    </row>
    <row r="20" customFormat="false" ht="23.85" hidden="false" customHeight="false" outlineLevel="0" collapsed="false">
      <c r="A20" s="18" t="s">
        <v>140</v>
      </c>
      <c r="B20" s="19" t="s">
        <v>28</v>
      </c>
      <c r="C20" s="19" t="s">
        <v>80</v>
      </c>
      <c r="D20" s="19" t="s">
        <v>141</v>
      </c>
      <c r="E20" s="19" t="s">
        <v>57</v>
      </c>
      <c r="F20" s="19"/>
      <c r="G20" s="19"/>
      <c r="H20" s="15" t="n">
        <v>46402</v>
      </c>
      <c r="I20" s="15" t="n">
        <v>46402</v>
      </c>
      <c r="J20" s="20" t="str">
        <f aca="false">IF(AND(F20&lt;&gt;"",H20&lt;&gt;""),H20-F20,"")</f>
        <v/>
      </c>
      <c r="K20" s="20" t="str">
        <f aca="false">IF(AND(G20&lt;&gt;"",I20&lt;&gt;""),I20-G20,"")</f>
        <v/>
      </c>
      <c r="L20" s="21" t="n">
        <v>0</v>
      </c>
      <c r="M20" s="19" t="s">
        <v>142</v>
      </c>
      <c r="N20" s="19" t="s">
        <v>83</v>
      </c>
      <c r="O20" s="19" t="s">
        <v>84</v>
      </c>
      <c r="P20" s="17" t="s">
        <v>61</v>
      </c>
      <c r="Q20" s="17" t="s">
        <v>143</v>
      </c>
      <c r="R20" s="17" t="s">
        <v>63</v>
      </c>
      <c r="S20" s="19" t="s">
        <v>64</v>
      </c>
      <c r="T20" s="19" t="s">
        <v>144</v>
      </c>
    </row>
    <row r="21" customFormat="false" ht="35.05" hidden="false" customHeight="false" outlineLevel="0" collapsed="false">
      <c r="A21" s="13" t="s">
        <v>145</v>
      </c>
      <c r="B21" s="14" t="s">
        <v>28</v>
      </c>
      <c r="C21" s="14" t="s">
        <v>80</v>
      </c>
      <c r="D21" s="14" t="s">
        <v>146</v>
      </c>
      <c r="E21" s="14" t="s">
        <v>126</v>
      </c>
      <c r="F21" s="14"/>
      <c r="G21" s="14"/>
      <c r="H21" s="15" t="n">
        <v>46510</v>
      </c>
      <c r="I21" s="15" t="n">
        <v>46540</v>
      </c>
      <c r="J21" s="16" t="str">
        <f aca="false">IF(AND(F21&lt;&gt;"",H21&lt;&gt;""),H21-F21,"")</f>
        <v/>
      </c>
      <c r="K21" s="16" t="str">
        <f aca="false">IF(AND(G21&lt;&gt;"",I21&lt;&gt;""),I21-G21,"")</f>
        <v/>
      </c>
      <c r="L21" s="8" t="n">
        <v>23</v>
      </c>
      <c r="M21" s="14" t="s">
        <v>147</v>
      </c>
      <c r="N21" s="14" t="s">
        <v>148</v>
      </c>
      <c r="O21" s="14" t="s">
        <v>149</v>
      </c>
      <c r="P21" s="17" t="s">
        <v>61</v>
      </c>
      <c r="Q21" s="17" t="s">
        <v>143</v>
      </c>
      <c r="R21" s="17" t="s">
        <v>63</v>
      </c>
      <c r="S21" s="14" t="s">
        <v>64</v>
      </c>
      <c r="T21" s="14" t="s">
        <v>150</v>
      </c>
    </row>
    <row r="22" customFormat="false" ht="35.05" hidden="false" customHeight="false" outlineLevel="0" collapsed="false">
      <c r="A22" s="18" t="s">
        <v>151</v>
      </c>
      <c r="B22" s="19" t="s">
        <v>30</v>
      </c>
      <c r="C22" s="19" t="s">
        <v>152</v>
      </c>
      <c r="D22" s="19" t="s">
        <v>153</v>
      </c>
      <c r="E22" s="19" t="s">
        <v>126</v>
      </c>
      <c r="F22" s="19"/>
      <c r="G22" s="19"/>
      <c r="H22" s="15" t="n">
        <v>46748</v>
      </c>
      <c r="I22" s="15" t="n">
        <v>46801</v>
      </c>
      <c r="J22" s="20" t="str">
        <f aca="false">IF(AND(F22&lt;&gt;"",H22&lt;&gt;""),H22-F22,"")</f>
        <v/>
      </c>
      <c r="K22" s="20" t="str">
        <f aca="false">IF(AND(G22&lt;&gt;"",I22&lt;&gt;""),I22-G22,"")</f>
        <v/>
      </c>
      <c r="L22" s="21" t="n">
        <v>40</v>
      </c>
      <c r="M22" s="19" t="s">
        <v>154</v>
      </c>
      <c r="N22" s="19" t="s">
        <v>155</v>
      </c>
      <c r="O22" s="19" t="s">
        <v>156</v>
      </c>
      <c r="P22" s="17" t="s">
        <v>157</v>
      </c>
      <c r="Q22" s="17" t="s">
        <v>158</v>
      </c>
      <c r="R22" s="17" t="s">
        <v>63</v>
      </c>
      <c r="S22" s="19" t="s">
        <v>64</v>
      </c>
      <c r="T22" s="19" t="s">
        <v>159</v>
      </c>
    </row>
    <row r="23" customFormat="false" ht="23.85" hidden="false" customHeight="false" outlineLevel="0" collapsed="false">
      <c r="A23" s="13" t="s">
        <v>160</v>
      </c>
      <c r="B23" s="14" t="s">
        <v>30</v>
      </c>
      <c r="C23" s="14" t="s">
        <v>55</v>
      </c>
      <c r="D23" s="14" t="s">
        <v>161</v>
      </c>
      <c r="E23" s="14" t="s">
        <v>126</v>
      </c>
      <c r="F23" s="14"/>
      <c r="G23" s="14"/>
      <c r="H23" s="15" t="n">
        <v>47210</v>
      </c>
      <c r="I23" s="15" t="n">
        <v>47270</v>
      </c>
      <c r="J23" s="16" t="str">
        <f aca="false">IF(AND(F23&lt;&gt;"",H23&lt;&gt;""),H23-F23,"")</f>
        <v/>
      </c>
      <c r="K23" s="16" t="str">
        <f aca="false">IF(AND(G23&lt;&gt;"",I23&lt;&gt;""),I23-G23,"")</f>
        <v/>
      </c>
      <c r="L23" s="8" t="n">
        <v>45</v>
      </c>
      <c r="M23" s="14" t="s">
        <v>162</v>
      </c>
      <c r="N23" s="14" t="s">
        <v>163</v>
      </c>
      <c r="O23" s="14" t="s">
        <v>164</v>
      </c>
      <c r="P23" s="17" t="s">
        <v>157</v>
      </c>
      <c r="Q23" s="17" t="s">
        <v>165</v>
      </c>
      <c r="R23" s="17" t="s">
        <v>63</v>
      </c>
      <c r="S23" s="14" t="s">
        <v>64</v>
      </c>
      <c r="T23" s="14" t="s">
        <v>166</v>
      </c>
    </row>
    <row r="24" customFormat="false" ht="35.05" hidden="false" customHeight="false" outlineLevel="0" collapsed="false">
      <c r="A24" s="18" t="s">
        <v>163</v>
      </c>
      <c r="B24" s="19" t="s">
        <v>30</v>
      </c>
      <c r="C24" s="19" t="s">
        <v>55</v>
      </c>
      <c r="D24" s="19" t="s">
        <v>167</v>
      </c>
      <c r="E24" s="19" t="s">
        <v>126</v>
      </c>
      <c r="F24" s="19"/>
      <c r="G24" s="19"/>
      <c r="H24" s="15" t="n">
        <v>47392</v>
      </c>
      <c r="I24" s="15" t="n">
        <v>47480</v>
      </c>
      <c r="J24" s="20" t="str">
        <f aca="false">IF(AND(F24&lt;&gt;"",H24&lt;&gt;""),H24-F24,"")</f>
        <v/>
      </c>
      <c r="K24" s="20" t="str">
        <f aca="false">IF(AND(G24&lt;&gt;"",I24&lt;&gt;""),I24-G24,"")</f>
        <v/>
      </c>
      <c r="L24" s="21" t="n">
        <v>65</v>
      </c>
      <c r="M24" s="19" t="s">
        <v>168</v>
      </c>
      <c r="N24" s="19" t="s">
        <v>169</v>
      </c>
      <c r="O24" s="19" t="s">
        <v>164</v>
      </c>
      <c r="P24" s="17" t="s">
        <v>157</v>
      </c>
      <c r="Q24" s="17" t="s">
        <v>170</v>
      </c>
      <c r="R24" s="17" t="s">
        <v>63</v>
      </c>
      <c r="S24" s="19" t="s">
        <v>64</v>
      </c>
      <c r="T24" s="19" t="s">
        <v>171</v>
      </c>
    </row>
    <row r="25" customFormat="false" ht="35.05" hidden="false" customHeight="false" outlineLevel="0" collapsed="false">
      <c r="A25" s="13" t="s">
        <v>172</v>
      </c>
      <c r="B25" s="14" t="s">
        <v>30</v>
      </c>
      <c r="C25" s="14" t="s">
        <v>152</v>
      </c>
      <c r="D25" s="14" t="s">
        <v>173</v>
      </c>
      <c r="E25" s="14" t="s">
        <v>126</v>
      </c>
      <c r="F25" s="14"/>
      <c r="G25" s="14"/>
      <c r="H25" s="15" t="n">
        <v>47392</v>
      </c>
      <c r="I25" s="15" t="n">
        <v>47480</v>
      </c>
      <c r="J25" s="16" t="str">
        <f aca="false">IF(AND(F25&lt;&gt;"",H25&lt;&gt;""),H25-F25,"")</f>
        <v/>
      </c>
      <c r="K25" s="16" t="str">
        <f aca="false">IF(AND(G25&lt;&gt;"",I25&lt;&gt;""),I25-G25,"")</f>
        <v/>
      </c>
      <c r="L25" s="8" t="n">
        <v>65</v>
      </c>
      <c r="M25" s="14" t="s">
        <v>174</v>
      </c>
      <c r="N25" s="14" t="s">
        <v>175</v>
      </c>
      <c r="O25" s="14" t="s">
        <v>176</v>
      </c>
      <c r="P25" s="17" t="s">
        <v>157</v>
      </c>
      <c r="Q25" s="17" t="s">
        <v>170</v>
      </c>
      <c r="R25" s="17" t="s">
        <v>63</v>
      </c>
      <c r="S25" s="14" t="s">
        <v>64</v>
      </c>
      <c r="T25" s="14" t="s">
        <v>177</v>
      </c>
    </row>
    <row r="26" customFormat="false" ht="23.85" hidden="false" customHeight="false" outlineLevel="0" collapsed="false">
      <c r="A26" s="18" t="s">
        <v>178</v>
      </c>
      <c r="B26" s="19" t="s">
        <v>27</v>
      </c>
      <c r="C26" s="19" t="s">
        <v>72</v>
      </c>
      <c r="D26" s="19" t="s">
        <v>179</v>
      </c>
      <c r="E26" s="19" t="s">
        <v>180</v>
      </c>
      <c r="F26" s="23" t="n">
        <v>46296</v>
      </c>
      <c r="G26" s="23" t="n">
        <v>46384</v>
      </c>
      <c r="H26" s="15" t="n">
        <v>46328</v>
      </c>
      <c r="I26" s="15" t="n">
        <v>46414</v>
      </c>
      <c r="J26" s="20" t="n">
        <f aca="false">IF(AND(F26&lt;&gt;"",H26&lt;&gt;""),H26-F26,"")</f>
        <v>32</v>
      </c>
      <c r="K26" s="20" t="n">
        <f aca="false">IF(AND(G26&lt;&gt;"",I26&lt;&gt;""),I26-G26,"")</f>
        <v>30</v>
      </c>
      <c r="L26" s="21" t="n">
        <v>63</v>
      </c>
      <c r="M26" s="19"/>
      <c r="N26" s="19"/>
      <c r="O26" s="19" t="s">
        <v>181</v>
      </c>
      <c r="P26" s="17" t="s">
        <v>157</v>
      </c>
      <c r="Q26" s="17" t="s">
        <v>182</v>
      </c>
      <c r="R26" s="17" t="s">
        <v>104</v>
      </c>
      <c r="S26" s="19" t="s">
        <v>64</v>
      </c>
      <c r="T26" s="19" t="s">
        <v>183</v>
      </c>
    </row>
    <row r="27" customFormat="false" ht="23.85" hidden="false" customHeight="false" outlineLevel="0" collapsed="false">
      <c r="A27" s="13" t="s">
        <v>184</v>
      </c>
      <c r="B27" s="14" t="s">
        <v>27</v>
      </c>
      <c r="C27" s="14" t="s">
        <v>55</v>
      </c>
      <c r="D27" s="14" t="s">
        <v>185</v>
      </c>
      <c r="E27" s="14" t="s">
        <v>57</v>
      </c>
      <c r="F27" s="14"/>
      <c r="G27" s="14"/>
      <c r="H27" s="15" t="n">
        <v>46610</v>
      </c>
      <c r="I27" s="15" t="n">
        <v>46610</v>
      </c>
      <c r="J27" s="16" t="str">
        <f aca="false">IF(AND(F27&lt;&gt;"",H27&lt;&gt;""),H27-F27,"")</f>
        <v/>
      </c>
      <c r="K27" s="16" t="str">
        <f aca="false">IF(AND(G27&lt;&gt;"",I27&lt;&gt;""),I27-G27,"")</f>
        <v/>
      </c>
      <c r="L27" s="8" t="n">
        <v>0</v>
      </c>
      <c r="M27" s="14" t="s">
        <v>186</v>
      </c>
      <c r="N27" s="14"/>
      <c r="O27" s="14" t="s">
        <v>176</v>
      </c>
      <c r="P27" s="17" t="s">
        <v>157</v>
      </c>
      <c r="Q27" s="17" t="s">
        <v>187</v>
      </c>
      <c r="R27" s="17" t="s">
        <v>63</v>
      </c>
      <c r="S27" s="14" t="s">
        <v>64</v>
      </c>
      <c r="T27" s="14" t="s">
        <v>188</v>
      </c>
    </row>
    <row r="28" customFormat="false" ht="23.85" hidden="false" customHeight="false" outlineLevel="0" collapsed="false">
      <c r="A28" s="18" t="s">
        <v>189</v>
      </c>
      <c r="B28" s="19" t="s">
        <v>24</v>
      </c>
      <c r="C28" s="19" t="s">
        <v>72</v>
      </c>
      <c r="D28" s="19" t="s">
        <v>190</v>
      </c>
      <c r="E28" s="19" t="s">
        <v>180</v>
      </c>
      <c r="F28" s="23" t="n">
        <v>46302</v>
      </c>
      <c r="G28" s="23" t="n">
        <v>46393</v>
      </c>
      <c r="H28" s="15" t="n">
        <v>46328</v>
      </c>
      <c r="I28" s="15" t="n">
        <v>46419</v>
      </c>
      <c r="J28" s="20" t="n">
        <f aca="false">IF(AND(F28&lt;&gt;"",H28&lt;&gt;""),H28-F28,"")</f>
        <v>26</v>
      </c>
      <c r="K28" s="20" t="n">
        <f aca="false">IF(AND(G28&lt;&gt;"",I28&lt;&gt;""),I28-G28,"")</f>
        <v>26</v>
      </c>
      <c r="L28" s="21" t="n">
        <v>66</v>
      </c>
      <c r="M28" s="19"/>
      <c r="N28" s="19"/>
      <c r="O28" s="19" t="s">
        <v>84</v>
      </c>
      <c r="P28" s="17" t="s">
        <v>157</v>
      </c>
      <c r="Q28" s="17" t="s">
        <v>103</v>
      </c>
      <c r="R28" s="17" t="s">
        <v>104</v>
      </c>
      <c r="S28" s="19" t="s">
        <v>64</v>
      </c>
      <c r="T28" s="19" t="s">
        <v>183</v>
      </c>
    </row>
    <row r="29" customFormat="false" ht="23.85" hidden="false" customHeight="false" outlineLevel="0" collapsed="false">
      <c r="A29" s="13" t="s">
        <v>191</v>
      </c>
      <c r="B29" s="14" t="s">
        <v>24</v>
      </c>
      <c r="C29" s="14" t="s">
        <v>72</v>
      </c>
      <c r="D29" s="14" t="s">
        <v>192</v>
      </c>
      <c r="E29" s="14" t="s">
        <v>180</v>
      </c>
      <c r="F29" s="22" t="n">
        <v>46302</v>
      </c>
      <c r="G29" s="22" t="n">
        <v>46378</v>
      </c>
      <c r="H29" s="15" t="n">
        <v>46328</v>
      </c>
      <c r="I29" s="15" t="n">
        <v>46402</v>
      </c>
      <c r="J29" s="16" t="n">
        <f aca="false">IF(AND(F29&lt;&gt;"",H29&lt;&gt;""),H29-F29,"")</f>
        <v>26</v>
      </c>
      <c r="K29" s="16" t="n">
        <f aca="false">IF(AND(G29&lt;&gt;"",I29&lt;&gt;""),I29-G29,"")</f>
        <v>24</v>
      </c>
      <c r="L29" s="8" t="n">
        <v>55</v>
      </c>
      <c r="M29" s="14"/>
      <c r="N29" s="14"/>
      <c r="O29" s="14" t="s">
        <v>84</v>
      </c>
      <c r="P29" s="17" t="s">
        <v>157</v>
      </c>
      <c r="Q29" s="17" t="s">
        <v>103</v>
      </c>
      <c r="R29" s="17" t="s">
        <v>104</v>
      </c>
      <c r="S29" s="14" t="s">
        <v>64</v>
      </c>
      <c r="T29" s="14" t="s">
        <v>183</v>
      </c>
    </row>
    <row r="30" customFormat="false" ht="23.85" hidden="false" customHeight="false" outlineLevel="0" collapsed="false">
      <c r="A30" s="18" t="s">
        <v>193</v>
      </c>
      <c r="B30" s="19" t="s">
        <v>24</v>
      </c>
      <c r="C30" s="19" t="s">
        <v>72</v>
      </c>
      <c r="D30" s="19" t="s">
        <v>194</v>
      </c>
      <c r="E30" s="19" t="s">
        <v>180</v>
      </c>
      <c r="F30" s="23" t="n">
        <v>46307</v>
      </c>
      <c r="G30" s="23" t="n">
        <v>46381</v>
      </c>
      <c r="H30" s="15" t="n">
        <v>46328</v>
      </c>
      <c r="I30" s="15" t="n">
        <v>46402</v>
      </c>
      <c r="J30" s="20" t="n">
        <f aca="false">IF(AND(F30&lt;&gt;"",H30&lt;&gt;""),H30-F30,"")</f>
        <v>21</v>
      </c>
      <c r="K30" s="20" t="n">
        <f aca="false">IF(AND(G30&lt;&gt;"",I30&lt;&gt;""),I30-G30,"")</f>
        <v>21</v>
      </c>
      <c r="L30" s="21" t="n">
        <v>55</v>
      </c>
      <c r="M30" s="19"/>
      <c r="N30" s="19" t="s">
        <v>102</v>
      </c>
      <c r="O30" s="19" t="s">
        <v>84</v>
      </c>
      <c r="P30" s="17" t="s">
        <v>157</v>
      </c>
      <c r="Q30" s="17" t="s">
        <v>103</v>
      </c>
      <c r="R30" s="17" t="s">
        <v>104</v>
      </c>
      <c r="S30" s="19" t="s">
        <v>64</v>
      </c>
      <c r="T30" s="19" t="s">
        <v>183</v>
      </c>
    </row>
    <row r="31" customFormat="false" ht="23.85" hidden="false" customHeight="false" outlineLevel="0" collapsed="false">
      <c r="A31" s="13" t="s">
        <v>195</v>
      </c>
      <c r="B31" s="14" t="s">
        <v>24</v>
      </c>
      <c r="C31" s="14" t="s">
        <v>80</v>
      </c>
      <c r="D31" s="14" t="s">
        <v>196</v>
      </c>
      <c r="E31" s="14" t="s">
        <v>126</v>
      </c>
      <c r="F31" s="14"/>
      <c r="G31" s="14"/>
      <c r="H31" s="15" t="n">
        <v>46569</v>
      </c>
      <c r="I31" s="15" t="n">
        <v>46610</v>
      </c>
      <c r="J31" s="16" t="str">
        <f aca="false">IF(AND(F31&lt;&gt;"",H31&lt;&gt;""),H31-F31,"")</f>
        <v/>
      </c>
      <c r="K31" s="16" t="str">
        <f aca="false">IF(AND(G31&lt;&gt;"",I31&lt;&gt;""),I31-G31,"")</f>
        <v/>
      </c>
      <c r="L31" s="8" t="n">
        <v>30</v>
      </c>
      <c r="M31" s="14" t="s">
        <v>197</v>
      </c>
      <c r="N31" s="14"/>
      <c r="O31" s="14" t="s">
        <v>76</v>
      </c>
      <c r="P31" s="17" t="s">
        <v>157</v>
      </c>
      <c r="Q31" s="17" t="s">
        <v>198</v>
      </c>
      <c r="R31" s="17" t="s">
        <v>63</v>
      </c>
      <c r="S31" s="14" t="s">
        <v>64</v>
      </c>
      <c r="T31" s="14" t="s">
        <v>199</v>
      </c>
    </row>
    <row r="32" customFormat="false" ht="23.85" hidden="false" customHeight="false" outlineLevel="0" collapsed="false">
      <c r="A32" s="18" t="s">
        <v>200</v>
      </c>
      <c r="B32" s="19" t="s">
        <v>24</v>
      </c>
      <c r="C32" s="19" t="s">
        <v>55</v>
      </c>
      <c r="D32" s="19" t="s">
        <v>201</v>
      </c>
      <c r="E32" s="19" t="s">
        <v>95</v>
      </c>
      <c r="F32" s="23" t="n">
        <v>46615</v>
      </c>
      <c r="G32" s="23" t="n">
        <v>46675</v>
      </c>
      <c r="H32" s="15" t="n">
        <v>46654</v>
      </c>
      <c r="I32" s="15" t="n">
        <v>46716</v>
      </c>
      <c r="J32" s="20" t="n">
        <f aca="false">IF(AND(F32&lt;&gt;"",H32&lt;&gt;""),H32-F32,"")</f>
        <v>39</v>
      </c>
      <c r="K32" s="20" t="n">
        <f aca="false">IF(AND(G32&lt;&gt;"",I32&lt;&gt;""),I32-G32,"")</f>
        <v>41</v>
      </c>
      <c r="L32" s="21" t="n">
        <v>45</v>
      </c>
      <c r="M32" s="19" t="s">
        <v>202</v>
      </c>
      <c r="N32" s="19"/>
      <c r="O32" s="19" t="s">
        <v>60</v>
      </c>
      <c r="P32" s="17" t="s">
        <v>157</v>
      </c>
      <c r="Q32" s="17" t="s">
        <v>203</v>
      </c>
      <c r="R32" s="17" t="s">
        <v>104</v>
      </c>
      <c r="S32" s="19" t="s">
        <v>64</v>
      </c>
      <c r="T32" s="19" t="s">
        <v>204</v>
      </c>
    </row>
    <row r="33" customFormat="false" ht="23.85" hidden="false" customHeight="false" outlineLevel="0" collapsed="false">
      <c r="A33" s="13" t="s">
        <v>205</v>
      </c>
      <c r="B33" s="14" t="s">
        <v>28</v>
      </c>
      <c r="C33" s="14" t="s">
        <v>55</v>
      </c>
      <c r="D33" s="14" t="s">
        <v>206</v>
      </c>
      <c r="E33" s="14" t="s">
        <v>180</v>
      </c>
      <c r="F33" s="22" t="n">
        <v>46296</v>
      </c>
      <c r="G33" s="22" t="n">
        <v>46405</v>
      </c>
      <c r="H33" s="15" t="n">
        <v>46328</v>
      </c>
      <c r="I33" s="15" t="n">
        <v>46435</v>
      </c>
      <c r="J33" s="16" t="n">
        <f aca="false">IF(AND(F33&lt;&gt;"",H33&lt;&gt;""),H33-F33,"")</f>
        <v>32</v>
      </c>
      <c r="K33" s="16" t="n">
        <f aca="false">IF(AND(G33&lt;&gt;"",I33&lt;&gt;""),I33-G33,"")</f>
        <v>30</v>
      </c>
      <c r="L33" s="8" t="n">
        <v>78</v>
      </c>
      <c r="M33" s="14"/>
      <c r="N33" s="14"/>
      <c r="O33" s="14" t="s">
        <v>181</v>
      </c>
      <c r="P33" s="17" t="s">
        <v>157</v>
      </c>
      <c r="Q33" s="17" t="s">
        <v>143</v>
      </c>
      <c r="R33" s="17" t="s">
        <v>104</v>
      </c>
      <c r="S33" s="14" t="s">
        <v>64</v>
      </c>
      <c r="T33" s="14" t="s">
        <v>183</v>
      </c>
    </row>
    <row r="34" customFormat="false" ht="23.85" hidden="false" customHeight="false" outlineLevel="0" collapsed="false">
      <c r="A34" s="18" t="s">
        <v>207</v>
      </c>
      <c r="B34" s="19" t="s">
        <v>28</v>
      </c>
      <c r="C34" s="19" t="s">
        <v>55</v>
      </c>
      <c r="D34" s="19" t="s">
        <v>208</v>
      </c>
      <c r="E34" s="19" t="s">
        <v>180</v>
      </c>
      <c r="F34" s="23" t="n">
        <v>46286</v>
      </c>
      <c r="G34" s="23" t="n">
        <v>46405</v>
      </c>
      <c r="H34" s="15" t="n">
        <v>46328</v>
      </c>
      <c r="I34" s="15" t="n">
        <v>46447</v>
      </c>
      <c r="J34" s="20" t="n">
        <f aca="false">IF(AND(F34&lt;&gt;"",H34&lt;&gt;""),H34-F34,"")</f>
        <v>42</v>
      </c>
      <c r="K34" s="20" t="n">
        <f aca="false">IF(AND(G34&lt;&gt;"",I34&lt;&gt;""),I34-G34,"")</f>
        <v>42</v>
      </c>
      <c r="L34" s="21" t="n">
        <v>86</v>
      </c>
      <c r="M34" s="19"/>
      <c r="N34" s="19"/>
      <c r="O34" s="19" t="s">
        <v>181</v>
      </c>
      <c r="P34" s="17" t="s">
        <v>157</v>
      </c>
      <c r="Q34" s="17" t="s">
        <v>143</v>
      </c>
      <c r="R34" s="17" t="s">
        <v>104</v>
      </c>
      <c r="S34" s="19" t="s">
        <v>64</v>
      </c>
      <c r="T34" s="19" t="s">
        <v>183</v>
      </c>
    </row>
    <row r="35" customFormat="false" ht="23.85" hidden="false" customHeight="false" outlineLevel="0" collapsed="false">
      <c r="A35" s="13" t="s">
        <v>209</v>
      </c>
      <c r="B35" s="14" t="s">
        <v>28</v>
      </c>
      <c r="C35" s="14" t="s">
        <v>80</v>
      </c>
      <c r="D35" s="14" t="s">
        <v>210</v>
      </c>
      <c r="E35" s="14" t="s">
        <v>211</v>
      </c>
      <c r="F35" s="22" t="n">
        <v>46874</v>
      </c>
      <c r="G35" s="22" t="n">
        <v>46904</v>
      </c>
      <c r="H35" s="15" t="n">
        <v>46874</v>
      </c>
      <c r="I35" s="15" t="n">
        <v>46904</v>
      </c>
      <c r="J35" s="16" t="n">
        <f aca="false">IF(AND(F35&lt;&gt;"",H35&lt;&gt;""),H35-F35,"")</f>
        <v>0</v>
      </c>
      <c r="K35" s="16" t="n">
        <f aca="false">IF(AND(G35&lt;&gt;"",I35&lt;&gt;""),I35-G35,"")</f>
        <v>0</v>
      </c>
      <c r="L35" s="8" t="n">
        <v>23</v>
      </c>
      <c r="M35" s="14" t="s">
        <v>212</v>
      </c>
      <c r="N35" s="14"/>
      <c r="O35" s="14" t="s">
        <v>149</v>
      </c>
      <c r="P35" s="17" t="s">
        <v>157</v>
      </c>
      <c r="Q35" s="17" t="s">
        <v>143</v>
      </c>
      <c r="R35" s="17" t="s">
        <v>104</v>
      </c>
      <c r="S35" s="14" t="s">
        <v>64</v>
      </c>
      <c r="T35" s="14" t="s">
        <v>213</v>
      </c>
    </row>
    <row r="36" customFormat="false" ht="23.85" hidden="false" customHeight="false" outlineLevel="0" collapsed="false">
      <c r="A36" s="18" t="s">
        <v>214</v>
      </c>
      <c r="B36" s="19" t="s">
        <v>26</v>
      </c>
      <c r="C36" s="19" t="s">
        <v>72</v>
      </c>
      <c r="D36" s="19" t="s">
        <v>215</v>
      </c>
      <c r="E36" s="19" t="s">
        <v>126</v>
      </c>
      <c r="F36" s="19"/>
      <c r="G36" s="19"/>
      <c r="H36" s="15" t="n">
        <v>47028</v>
      </c>
      <c r="I36" s="15" t="n">
        <v>47053</v>
      </c>
      <c r="J36" s="20" t="str">
        <f aca="false">IF(AND(F36&lt;&gt;"",H36&lt;&gt;""),H36-F36,"")</f>
        <v/>
      </c>
      <c r="K36" s="20" t="str">
        <f aca="false">IF(AND(G36&lt;&gt;"",I36&lt;&gt;""),I36-G36,"")</f>
        <v/>
      </c>
      <c r="L36" s="21" t="n">
        <v>20</v>
      </c>
      <c r="M36" s="19"/>
      <c r="N36" s="19" t="s">
        <v>216</v>
      </c>
      <c r="O36" s="19" t="s">
        <v>84</v>
      </c>
      <c r="P36" s="17" t="s">
        <v>217</v>
      </c>
      <c r="Q36" s="17" t="s">
        <v>62</v>
      </c>
      <c r="R36" s="17" t="s">
        <v>63</v>
      </c>
      <c r="S36" s="19" t="s">
        <v>64</v>
      </c>
      <c r="T36" s="19" t="s">
        <v>218</v>
      </c>
    </row>
    <row r="37" customFormat="false" ht="23.85" hidden="false" customHeight="false" outlineLevel="0" collapsed="false">
      <c r="A37" s="13" t="s">
        <v>219</v>
      </c>
      <c r="B37" s="14" t="s">
        <v>31</v>
      </c>
      <c r="C37" s="14" t="s">
        <v>220</v>
      </c>
      <c r="D37" s="14" t="s">
        <v>221</v>
      </c>
      <c r="E37" s="14" t="s">
        <v>57</v>
      </c>
      <c r="F37" s="14"/>
      <c r="G37" s="14"/>
      <c r="H37" s="15" t="n">
        <v>46402</v>
      </c>
      <c r="I37" s="15" t="n">
        <v>46402</v>
      </c>
      <c r="J37" s="16" t="str">
        <f aca="false">IF(AND(F37&lt;&gt;"",H37&lt;&gt;""),H37-F37,"")</f>
        <v/>
      </c>
      <c r="K37" s="16" t="str">
        <f aca="false">IF(AND(G37&lt;&gt;"",I37&lt;&gt;""),I37-G37,"")</f>
        <v/>
      </c>
      <c r="L37" s="8" t="n">
        <v>0</v>
      </c>
      <c r="M37" s="14" t="s">
        <v>222</v>
      </c>
      <c r="N37" s="14"/>
      <c r="O37" s="14" t="s">
        <v>223</v>
      </c>
      <c r="P37" s="17" t="s">
        <v>61</v>
      </c>
      <c r="Q37" s="17" t="s">
        <v>224</v>
      </c>
      <c r="R37" s="17" t="s">
        <v>104</v>
      </c>
      <c r="S37" s="14" t="s">
        <v>64</v>
      </c>
      <c r="T37" s="14" t="s">
        <v>225</v>
      </c>
    </row>
    <row r="38" customFormat="false" ht="23.85" hidden="false" customHeight="false" outlineLevel="0" collapsed="false">
      <c r="A38" s="18" t="s">
        <v>226</v>
      </c>
      <c r="B38" s="19" t="s">
        <v>31</v>
      </c>
      <c r="C38" s="19" t="s">
        <v>220</v>
      </c>
      <c r="D38" s="19" t="s">
        <v>227</v>
      </c>
      <c r="E38" s="19" t="s">
        <v>57</v>
      </c>
      <c r="F38" s="19"/>
      <c r="G38" s="19"/>
      <c r="H38" s="15" t="n">
        <v>46423</v>
      </c>
      <c r="I38" s="15" t="n">
        <v>46423</v>
      </c>
      <c r="J38" s="20" t="str">
        <f aca="false">IF(AND(F38&lt;&gt;"",H38&lt;&gt;""),H38-F38,"")</f>
        <v/>
      </c>
      <c r="K38" s="20" t="str">
        <f aca="false">IF(AND(G38&lt;&gt;"",I38&lt;&gt;""),I38-G38,"")</f>
        <v/>
      </c>
      <c r="L38" s="21" t="n">
        <v>0</v>
      </c>
      <c r="M38" s="19" t="s">
        <v>228</v>
      </c>
      <c r="N38" s="19"/>
      <c r="O38" s="19" t="s">
        <v>223</v>
      </c>
      <c r="P38" s="17" t="s">
        <v>61</v>
      </c>
      <c r="Q38" s="17" t="s">
        <v>224</v>
      </c>
      <c r="R38" s="17" t="s">
        <v>104</v>
      </c>
      <c r="S38" s="19" t="s">
        <v>64</v>
      </c>
      <c r="T38" s="19" t="s">
        <v>225</v>
      </c>
    </row>
    <row r="39" customFormat="false" ht="23.85" hidden="false" customHeight="false" outlineLevel="0" collapsed="false">
      <c r="A39" s="13" t="s">
        <v>229</v>
      </c>
      <c r="B39" s="14" t="s">
        <v>31</v>
      </c>
      <c r="C39" s="14" t="s">
        <v>220</v>
      </c>
      <c r="D39" s="14" t="s">
        <v>230</v>
      </c>
      <c r="E39" s="14" t="s">
        <v>57</v>
      </c>
      <c r="F39" s="14"/>
      <c r="G39" s="14"/>
      <c r="H39" s="15" t="n">
        <v>46538</v>
      </c>
      <c r="I39" s="15" t="n">
        <v>46538</v>
      </c>
      <c r="J39" s="16" t="str">
        <f aca="false">IF(AND(F39&lt;&gt;"",H39&lt;&gt;""),H39-F39,"")</f>
        <v/>
      </c>
      <c r="K39" s="16" t="str">
        <f aca="false">IF(AND(G39&lt;&gt;"",I39&lt;&gt;""),I39-G39,"")</f>
        <v/>
      </c>
      <c r="L39" s="8" t="n">
        <v>0</v>
      </c>
      <c r="M39" s="14" t="s">
        <v>231</v>
      </c>
      <c r="N39" s="14"/>
      <c r="O39" s="14" t="s">
        <v>223</v>
      </c>
      <c r="P39" s="17" t="s">
        <v>61</v>
      </c>
      <c r="Q39" s="17" t="s">
        <v>224</v>
      </c>
      <c r="R39" s="17" t="s">
        <v>104</v>
      </c>
      <c r="S39" s="14" t="s">
        <v>64</v>
      </c>
      <c r="T39" s="14" t="s">
        <v>225</v>
      </c>
    </row>
    <row r="40" customFormat="false" ht="23.85" hidden="false" customHeight="false" outlineLevel="0" collapsed="false">
      <c r="A40" s="18" t="s">
        <v>232</v>
      </c>
      <c r="B40" s="19" t="s">
        <v>31</v>
      </c>
      <c r="C40" s="19" t="s">
        <v>220</v>
      </c>
      <c r="D40" s="19" t="s">
        <v>233</v>
      </c>
      <c r="E40" s="19" t="s">
        <v>57</v>
      </c>
      <c r="F40" s="19"/>
      <c r="G40" s="19"/>
      <c r="H40" s="15" t="n">
        <v>46745</v>
      </c>
      <c r="I40" s="15" t="n">
        <v>46745</v>
      </c>
      <c r="J40" s="20" t="str">
        <f aca="false">IF(AND(F40&lt;&gt;"",H40&lt;&gt;""),H40-F40,"")</f>
        <v/>
      </c>
      <c r="K40" s="20" t="str">
        <f aca="false">IF(AND(G40&lt;&gt;"",I40&lt;&gt;""),I40-G40,"")</f>
        <v/>
      </c>
      <c r="L40" s="21" t="n">
        <v>0</v>
      </c>
      <c r="M40" s="19" t="s">
        <v>234</v>
      </c>
      <c r="N40" s="19"/>
      <c r="O40" s="19" t="s">
        <v>223</v>
      </c>
      <c r="P40" s="17" t="s">
        <v>61</v>
      </c>
      <c r="Q40" s="17" t="s">
        <v>224</v>
      </c>
      <c r="R40" s="17" t="s">
        <v>104</v>
      </c>
      <c r="S40" s="19" t="s">
        <v>64</v>
      </c>
      <c r="T40" s="19" t="s">
        <v>225</v>
      </c>
    </row>
    <row r="41" customFormat="false" ht="15" hidden="false" customHeight="false" outlineLevel="0" collapsed="false">
      <c r="A41" s="13" t="s">
        <v>235</v>
      </c>
      <c r="B41" s="14" t="s">
        <v>31</v>
      </c>
      <c r="C41" s="14" t="s">
        <v>220</v>
      </c>
      <c r="D41" s="14" t="s">
        <v>236</v>
      </c>
      <c r="E41" s="14" t="s">
        <v>57</v>
      </c>
      <c r="F41" s="14"/>
      <c r="G41" s="14"/>
      <c r="H41" s="15" t="n">
        <v>47012</v>
      </c>
      <c r="I41" s="15" t="n">
        <v>47012</v>
      </c>
      <c r="J41" s="16" t="str">
        <f aca="false">IF(AND(F41&lt;&gt;"",H41&lt;&gt;""),H41-F41,"")</f>
        <v/>
      </c>
      <c r="K41" s="16" t="str">
        <f aca="false">IF(AND(G41&lt;&gt;"",I41&lt;&gt;""),I41-G41,"")</f>
        <v/>
      </c>
      <c r="L41" s="8" t="n">
        <v>0</v>
      </c>
      <c r="M41" s="14" t="s">
        <v>237</v>
      </c>
      <c r="N41" s="14"/>
      <c r="O41" s="14" t="s">
        <v>223</v>
      </c>
      <c r="P41" s="17" t="s">
        <v>61</v>
      </c>
      <c r="Q41" s="17" t="s">
        <v>224</v>
      </c>
      <c r="R41" s="17" t="s">
        <v>104</v>
      </c>
      <c r="S41" s="14" t="s">
        <v>64</v>
      </c>
      <c r="T41" s="14" t="s">
        <v>225</v>
      </c>
    </row>
    <row r="42" customFormat="false" ht="23.85" hidden="false" customHeight="false" outlineLevel="0" collapsed="false">
      <c r="A42" s="18" t="s">
        <v>238</v>
      </c>
      <c r="B42" s="19" t="s">
        <v>31</v>
      </c>
      <c r="C42" s="19" t="s">
        <v>220</v>
      </c>
      <c r="D42" s="19" t="s">
        <v>239</v>
      </c>
      <c r="E42" s="19" t="s">
        <v>57</v>
      </c>
      <c r="F42" s="19"/>
      <c r="G42" s="19"/>
      <c r="H42" s="15" t="n">
        <v>47018</v>
      </c>
      <c r="I42" s="15" t="n">
        <v>47018</v>
      </c>
      <c r="J42" s="20" t="str">
        <f aca="false">IF(AND(F42&lt;&gt;"",H42&lt;&gt;""),H42-F42,"")</f>
        <v/>
      </c>
      <c r="K42" s="20" t="str">
        <f aca="false">IF(AND(G42&lt;&gt;"",I42&lt;&gt;""),I42-G42,"")</f>
        <v/>
      </c>
      <c r="L42" s="21" t="n">
        <v>0</v>
      </c>
      <c r="M42" s="19" t="s">
        <v>162</v>
      </c>
      <c r="N42" s="19"/>
      <c r="O42" s="19" t="s">
        <v>223</v>
      </c>
      <c r="P42" s="17" t="s">
        <v>61</v>
      </c>
      <c r="Q42" s="17" t="s">
        <v>224</v>
      </c>
      <c r="R42" s="17" t="s">
        <v>104</v>
      </c>
      <c r="S42" s="19" t="s">
        <v>64</v>
      </c>
      <c r="T42" s="19" t="s">
        <v>225</v>
      </c>
    </row>
    <row r="43" customFormat="false" ht="23.85" hidden="false" customHeight="false" outlineLevel="0" collapsed="false">
      <c r="A43" s="13" t="s">
        <v>175</v>
      </c>
      <c r="B43" s="14" t="s">
        <v>31</v>
      </c>
      <c r="C43" s="14" t="s">
        <v>220</v>
      </c>
      <c r="D43" s="14" t="s">
        <v>240</v>
      </c>
      <c r="E43" s="14" t="s">
        <v>57</v>
      </c>
      <c r="F43" s="14"/>
      <c r="G43" s="14"/>
      <c r="H43" s="15" t="n">
        <v>47480</v>
      </c>
      <c r="I43" s="15" t="n">
        <v>47480</v>
      </c>
      <c r="J43" s="16" t="str">
        <f aca="false">IF(AND(F43&lt;&gt;"",H43&lt;&gt;""),H43-F43,"")</f>
        <v/>
      </c>
      <c r="K43" s="16" t="str">
        <f aca="false">IF(AND(G43&lt;&gt;"",I43&lt;&gt;""),I43-G43,"")</f>
        <v/>
      </c>
      <c r="L43" s="8" t="n">
        <v>0</v>
      </c>
      <c r="M43" s="14" t="s">
        <v>241</v>
      </c>
      <c r="N43" s="14"/>
      <c r="O43" s="14" t="s">
        <v>223</v>
      </c>
      <c r="P43" s="17" t="s">
        <v>61</v>
      </c>
      <c r="Q43" s="17" t="s">
        <v>224</v>
      </c>
      <c r="R43" s="17" t="s">
        <v>104</v>
      </c>
      <c r="S43" s="14" t="s">
        <v>64</v>
      </c>
      <c r="T43" s="14" t="s">
        <v>225</v>
      </c>
    </row>
  </sheetData>
  <autoFilter ref="A2:T43"/>
  <mergeCells count="1">
    <mergeCell ref="A1:T1"/>
  </mergeCells>
  <conditionalFormatting sqref="P3:P43">
    <cfRule type="cellIs" priority="2" operator="equal" aboveAverage="0" equalAverage="0" bottom="0" percent="0" rank="0" text="" dxfId="10">
      <formula>"Crítica"</formula>
    </cfRule>
    <cfRule type="cellIs" priority="3" operator="equal" aboveAverage="0" equalAverage="0" bottom="0" percent="0" rank="0" text="" dxfId="11">
      <formula>"Alta"</formula>
    </cfRule>
    <cfRule type="cellIs" priority="4" operator="equal" aboveAverage="0" equalAverage="0" bottom="0" percent="0" rank="0" text="" dxfId="12">
      <formula>"Media"</formula>
    </cfRule>
    <cfRule type="cellIs" priority="5" operator="equal" aboveAverage="0" equalAverage="0" bottom="0" percent="0" rank="0" text="" dxfId="13">
      <formula>"Baja"</formula>
    </cfRule>
  </conditionalFormatting>
  <dataValidations count="2">
    <dataValidation allowBlank="true" errorStyle="stop" operator="between" showDropDown="false" showErrorMessage="false" showInputMessage="false" sqref="P3:P43" type="list">
      <formula1>"Alta,Media,Baja"</formula1>
      <formula2>0</formula2>
    </dataValidation>
    <dataValidation allowBlank="true" errorStyle="stop" operator="between" showDropDown="false" showErrorMessage="false" showInputMessage="false" sqref="R3:R43" type="list">
      <formula1>"Calculada,Tentativa,Pendiente de decisión"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899"/>
    <pageSetUpPr fitToPage="false"/>
  </sheetPr>
  <dimension ref="A1:K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9"/>
    <col collapsed="false" customWidth="true" hidden="false" outlineLevel="0" max="4" min="4" style="0" width="42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48"/>
    <col collapsed="false" customWidth="true" hidden="false" outlineLevel="0" max="10" min="10" style="0" width="24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2" t="s">
        <v>242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31.5" hidden="false" customHeight="true" outlineLevel="0" collapsed="false">
      <c r="A2" s="6" t="s">
        <v>243</v>
      </c>
      <c r="B2" s="6" t="s">
        <v>244</v>
      </c>
      <c r="C2" s="6" t="s">
        <v>245</v>
      </c>
      <c r="D2" s="6" t="s">
        <v>246</v>
      </c>
      <c r="E2" s="6" t="s">
        <v>247</v>
      </c>
      <c r="F2" s="6" t="s">
        <v>248</v>
      </c>
      <c r="G2" s="6" t="s">
        <v>249</v>
      </c>
      <c r="H2" s="6" t="s">
        <v>250</v>
      </c>
      <c r="I2" s="6" t="s">
        <v>53</v>
      </c>
      <c r="J2" s="6" t="s">
        <v>251</v>
      </c>
      <c r="K2" s="6" t="s">
        <v>252</v>
      </c>
    </row>
    <row r="3" customFormat="false" ht="23.85" hidden="false" customHeight="false" outlineLevel="0" collapsed="false">
      <c r="A3" s="13" t="s">
        <v>253</v>
      </c>
      <c r="B3" s="14" t="s">
        <v>254</v>
      </c>
      <c r="C3" s="14" t="s">
        <v>145</v>
      </c>
      <c r="D3" s="14" t="s">
        <v>146</v>
      </c>
      <c r="E3" s="14" t="s">
        <v>255</v>
      </c>
      <c r="F3" s="8" t="n">
        <v>0</v>
      </c>
      <c r="G3" s="8" t="n">
        <v>9</v>
      </c>
      <c r="H3" s="14" t="s">
        <v>256</v>
      </c>
      <c r="I3" s="14" t="s">
        <v>257</v>
      </c>
      <c r="J3" s="14" t="s">
        <v>143</v>
      </c>
      <c r="K3" s="14" t="s">
        <v>258</v>
      </c>
    </row>
    <row r="4" customFormat="false" ht="23.85" hidden="false" customHeight="false" outlineLevel="0" collapsed="false">
      <c r="A4" s="18" t="s">
        <v>145</v>
      </c>
      <c r="B4" s="19" t="s">
        <v>146</v>
      </c>
      <c r="C4" s="19" t="s">
        <v>259</v>
      </c>
      <c r="D4" s="19" t="s">
        <v>260</v>
      </c>
      <c r="E4" s="19" t="s">
        <v>255</v>
      </c>
      <c r="F4" s="21" t="n">
        <v>0</v>
      </c>
      <c r="G4" s="21" t="n">
        <v>9</v>
      </c>
      <c r="H4" s="19" t="s">
        <v>256</v>
      </c>
      <c r="I4" s="19" t="s">
        <v>261</v>
      </c>
      <c r="J4" s="19" t="s">
        <v>143</v>
      </c>
      <c r="K4" s="19" t="s">
        <v>258</v>
      </c>
    </row>
    <row r="5" customFormat="false" ht="35.05" hidden="false" customHeight="false" outlineLevel="0" collapsed="false">
      <c r="A5" s="13" t="s">
        <v>145</v>
      </c>
      <c r="B5" s="14" t="s">
        <v>146</v>
      </c>
      <c r="C5" s="14" t="s">
        <v>262</v>
      </c>
      <c r="D5" s="14" t="s">
        <v>263</v>
      </c>
      <c r="E5" s="14" t="s">
        <v>255</v>
      </c>
      <c r="F5" s="8" t="n">
        <v>0</v>
      </c>
      <c r="G5" s="8" t="n">
        <v>12</v>
      </c>
      <c r="H5" s="14" t="s">
        <v>256</v>
      </c>
      <c r="I5" s="14" t="s">
        <v>264</v>
      </c>
      <c r="J5" s="14" t="s">
        <v>143</v>
      </c>
      <c r="K5" s="14" t="s">
        <v>258</v>
      </c>
    </row>
    <row r="6" customFormat="false" ht="23.85" hidden="false" customHeight="false" outlineLevel="0" collapsed="false">
      <c r="A6" s="18" t="s">
        <v>145</v>
      </c>
      <c r="B6" s="19" t="s">
        <v>146</v>
      </c>
      <c r="C6" s="19" t="s">
        <v>265</v>
      </c>
      <c r="D6" s="19" t="s">
        <v>266</v>
      </c>
      <c r="E6" s="19" t="s">
        <v>255</v>
      </c>
      <c r="F6" s="21" t="n">
        <v>0</v>
      </c>
      <c r="G6" s="21" t="n">
        <v>204</v>
      </c>
      <c r="H6" s="19" t="s">
        <v>256</v>
      </c>
      <c r="I6" s="19" t="s">
        <v>267</v>
      </c>
      <c r="J6" s="19" t="s">
        <v>143</v>
      </c>
      <c r="K6" s="19" t="s">
        <v>258</v>
      </c>
    </row>
    <row r="7" customFormat="false" ht="23.85" hidden="false" customHeight="false" outlineLevel="0" collapsed="false">
      <c r="A7" s="13" t="s">
        <v>145</v>
      </c>
      <c r="B7" s="14" t="s">
        <v>146</v>
      </c>
      <c r="C7" s="14" t="s">
        <v>268</v>
      </c>
      <c r="D7" s="14" t="s">
        <v>269</v>
      </c>
      <c r="E7" s="14" t="s">
        <v>255</v>
      </c>
      <c r="F7" s="8" t="n">
        <v>0</v>
      </c>
      <c r="G7" s="8" t="n">
        <v>77</v>
      </c>
      <c r="H7" s="14" t="s">
        <v>256</v>
      </c>
      <c r="I7" s="14" t="s">
        <v>270</v>
      </c>
      <c r="J7" s="14" t="s">
        <v>143</v>
      </c>
      <c r="K7" s="14" t="s">
        <v>258</v>
      </c>
    </row>
    <row r="8" customFormat="false" ht="23.85" hidden="false" customHeight="false" outlineLevel="0" collapsed="false">
      <c r="A8" s="18" t="s">
        <v>253</v>
      </c>
      <c r="B8" s="19" t="s">
        <v>254</v>
      </c>
      <c r="C8" s="19" t="s">
        <v>271</v>
      </c>
      <c r="D8" s="19" t="s">
        <v>272</v>
      </c>
      <c r="E8" s="19" t="s">
        <v>255</v>
      </c>
      <c r="F8" s="21" t="n">
        <v>0</v>
      </c>
      <c r="G8" s="21" t="n">
        <v>226</v>
      </c>
      <c r="H8" s="19" t="s">
        <v>256</v>
      </c>
      <c r="I8" s="19" t="s">
        <v>273</v>
      </c>
      <c r="J8" s="19" t="s">
        <v>143</v>
      </c>
      <c r="K8" s="19" t="s">
        <v>258</v>
      </c>
    </row>
    <row r="9" customFormat="false" ht="23.85" hidden="false" customHeight="false" outlineLevel="0" collapsed="false">
      <c r="A9" s="13" t="s">
        <v>271</v>
      </c>
      <c r="B9" s="14" t="s">
        <v>272</v>
      </c>
      <c r="C9" s="14" t="s">
        <v>209</v>
      </c>
      <c r="D9" s="14" t="s">
        <v>210</v>
      </c>
      <c r="E9" s="14" t="s">
        <v>255</v>
      </c>
      <c r="F9" s="8" t="n">
        <v>0</v>
      </c>
      <c r="G9" s="8" t="n">
        <v>0</v>
      </c>
      <c r="H9" s="14" t="s">
        <v>256</v>
      </c>
      <c r="I9" s="14" t="s">
        <v>274</v>
      </c>
      <c r="J9" s="14" t="s">
        <v>143</v>
      </c>
      <c r="K9" s="14" t="s">
        <v>258</v>
      </c>
    </row>
    <row r="10" customFormat="false" ht="23.85" hidden="false" customHeight="false" outlineLevel="0" collapsed="false">
      <c r="A10" s="18" t="s">
        <v>124</v>
      </c>
      <c r="B10" s="19" t="s">
        <v>125</v>
      </c>
      <c r="C10" s="19" t="s">
        <v>275</v>
      </c>
      <c r="D10" s="19" t="s">
        <v>276</v>
      </c>
      <c r="E10" s="19" t="s">
        <v>277</v>
      </c>
      <c r="F10" s="21" t="n">
        <v>0</v>
      </c>
      <c r="G10" s="21" t="n">
        <v>107</v>
      </c>
      <c r="H10" s="19" t="s">
        <v>256</v>
      </c>
      <c r="I10" s="19" t="s">
        <v>278</v>
      </c>
      <c r="J10" s="19" t="s">
        <v>279</v>
      </c>
      <c r="K10" s="19" t="s">
        <v>280</v>
      </c>
    </row>
    <row r="11" customFormat="false" ht="23.85" hidden="false" customHeight="false" outlineLevel="0" collapsed="false">
      <c r="A11" s="13" t="s">
        <v>124</v>
      </c>
      <c r="B11" s="14" t="s">
        <v>125</v>
      </c>
      <c r="C11" s="14" t="s">
        <v>59</v>
      </c>
      <c r="D11" s="14" t="s">
        <v>130</v>
      </c>
      <c r="E11" s="14" t="s">
        <v>255</v>
      </c>
      <c r="F11" s="8" t="n">
        <v>0</v>
      </c>
      <c r="G11" s="8" t="n">
        <v>62</v>
      </c>
      <c r="H11" s="14" t="s">
        <v>256</v>
      </c>
      <c r="I11" s="14" t="s">
        <v>281</v>
      </c>
      <c r="J11" s="14" t="s">
        <v>103</v>
      </c>
      <c r="K11" s="14" t="s">
        <v>282</v>
      </c>
    </row>
    <row r="12" customFormat="false" ht="23.85" hidden="false" customHeight="false" outlineLevel="0" collapsed="false">
      <c r="A12" s="18" t="s">
        <v>124</v>
      </c>
      <c r="B12" s="19" t="s">
        <v>125</v>
      </c>
      <c r="C12" s="19" t="s">
        <v>283</v>
      </c>
      <c r="D12" s="19" t="s">
        <v>284</v>
      </c>
      <c r="E12" s="19" t="s">
        <v>255</v>
      </c>
      <c r="F12" s="21" t="n">
        <v>0</v>
      </c>
      <c r="G12" s="21" t="n">
        <v>52</v>
      </c>
      <c r="H12" s="19" t="s">
        <v>256</v>
      </c>
      <c r="I12" s="19" t="s">
        <v>285</v>
      </c>
      <c r="J12" s="19" t="s">
        <v>103</v>
      </c>
      <c r="K12" s="19" t="s">
        <v>282</v>
      </c>
    </row>
    <row r="13" customFormat="false" ht="23.85" hidden="false" customHeight="false" outlineLevel="0" collapsed="false">
      <c r="A13" s="13" t="s">
        <v>124</v>
      </c>
      <c r="B13" s="14" t="s">
        <v>125</v>
      </c>
      <c r="C13" s="14" t="s">
        <v>259</v>
      </c>
      <c r="D13" s="14" t="s">
        <v>260</v>
      </c>
      <c r="E13" s="14" t="s">
        <v>255</v>
      </c>
      <c r="F13" s="8" t="n">
        <v>0</v>
      </c>
      <c r="G13" s="8" t="n">
        <v>52</v>
      </c>
      <c r="H13" s="14" t="s">
        <v>256</v>
      </c>
      <c r="I13" s="14" t="s">
        <v>286</v>
      </c>
      <c r="J13" s="14" t="s">
        <v>287</v>
      </c>
      <c r="K13" s="14" t="s">
        <v>288</v>
      </c>
    </row>
    <row r="14" customFormat="false" ht="35.05" hidden="false" customHeight="false" outlineLevel="0" collapsed="false">
      <c r="A14" s="18" t="s">
        <v>124</v>
      </c>
      <c r="B14" s="19" t="s">
        <v>125</v>
      </c>
      <c r="C14" s="19" t="s">
        <v>262</v>
      </c>
      <c r="D14" s="19" t="s">
        <v>263</v>
      </c>
      <c r="E14" s="19" t="s">
        <v>255</v>
      </c>
      <c r="F14" s="21" t="n">
        <v>0</v>
      </c>
      <c r="G14" s="21" t="n">
        <v>55</v>
      </c>
      <c r="H14" s="19" t="s">
        <v>256</v>
      </c>
      <c r="I14" s="19" t="s">
        <v>286</v>
      </c>
      <c r="J14" s="19" t="s">
        <v>287</v>
      </c>
      <c r="K14" s="19" t="s">
        <v>288</v>
      </c>
    </row>
    <row r="15" customFormat="false" ht="23.85" hidden="false" customHeight="false" outlineLevel="0" collapsed="false">
      <c r="A15" s="13" t="s">
        <v>289</v>
      </c>
      <c r="B15" s="14" t="s">
        <v>290</v>
      </c>
      <c r="C15" s="14" t="s">
        <v>54</v>
      </c>
      <c r="D15" s="14" t="s">
        <v>56</v>
      </c>
      <c r="E15" s="14" t="s">
        <v>291</v>
      </c>
      <c r="F15" s="8" t="n">
        <v>32</v>
      </c>
      <c r="G15" s="8" t="n">
        <v>0</v>
      </c>
      <c r="H15" s="14" t="s">
        <v>256</v>
      </c>
      <c r="I15" s="14" t="s">
        <v>292</v>
      </c>
      <c r="J15" s="14" t="s">
        <v>62</v>
      </c>
      <c r="K15" s="14" t="s">
        <v>282</v>
      </c>
    </row>
    <row r="16" customFormat="false" ht="23.85" hidden="false" customHeight="false" outlineLevel="0" collapsed="false">
      <c r="A16" s="18" t="s">
        <v>54</v>
      </c>
      <c r="B16" s="19" t="s">
        <v>56</v>
      </c>
      <c r="C16" s="19" t="s">
        <v>59</v>
      </c>
      <c r="D16" s="19" t="s">
        <v>130</v>
      </c>
      <c r="E16" s="19" t="s">
        <v>255</v>
      </c>
      <c r="F16" s="21" t="n">
        <v>0</v>
      </c>
      <c r="G16" s="21" t="n">
        <v>0</v>
      </c>
      <c r="H16" s="19" t="s">
        <v>256</v>
      </c>
      <c r="I16" s="19" t="s">
        <v>293</v>
      </c>
      <c r="J16" s="19" t="s">
        <v>103</v>
      </c>
      <c r="K16" s="19" t="s">
        <v>282</v>
      </c>
    </row>
    <row r="17" customFormat="false" ht="23.85" hidden="false" customHeight="false" outlineLevel="0" collapsed="false">
      <c r="A17" s="13" t="s">
        <v>294</v>
      </c>
      <c r="B17" s="14" t="s">
        <v>295</v>
      </c>
      <c r="C17" s="14" t="s">
        <v>59</v>
      </c>
      <c r="D17" s="14" t="s">
        <v>130</v>
      </c>
      <c r="E17" s="14" t="s">
        <v>255</v>
      </c>
      <c r="F17" s="8" t="n">
        <v>0</v>
      </c>
      <c r="G17" s="8" t="n">
        <v>21</v>
      </c>
      <c r="H17" s="14" t="s">
        <v>256</v>
      </c>
      <c r="I17" s="14" t="s">
        <v>296</v>
      </c>
      <c r="J17" s="14" t="s">
        <v>103</v>
      </c>
      <c r="K17" s="14" t="s">
        <v>297</v>
      </c>
    </row>
    <row r="18" customFormat="false" ht="23.85" hidden="false" customHeight="false" outlineLevel="0" collapsed="false">
      <c r="A18" s="18" t="s">
        <v>298</v>
      </c>
      <c r="B18" s="19" t="s">
        <v>299</v>
      </c>
      <c r="C18" s="19" t="s">
        <v>59</v>
      </c>
      <c r="D18" s="19" t="s">
        <v>130</v>
      </c>
      <c r="E18" s="19" t="s">
        <v>255</v>
      </c>
      <c r="F18" s="21" t="n">
        <v>0</v>
      </c>
      <c r="G18" s="21" t="n">
        <v>21</v>
      </c>
      <c r="H18" s="19" t="s">
        <v>256</v>
      </c>
      <c r="I18" s="19" t="s">
        <v>300</v>
      </c>
      <c r="J18" s="19" t="s">
        <v>103</v>
      </c>
      <c r="K18" s="19" t="s">
        <v>297</v>
      </c>
    </row>
    <row r="19" customFormat="false" ht="23.85" hidden="false" customHeight="false" outlineLevel="0" collapsed="false">
      <c r="A19" s="13" t="s">
        <v>301</v>
      </c>
      <c r="B19" s="14" t="s">
        <v>302</v>
      </c>
      <c r="C19" s="14" t="s">
        <v>66</v>
      </c>
      <c r="D19" s="14" t="s">
        <v>67</v>
      </c>
      <c r="E19" s="14" t="s">
        <v>291</v>
      </c>
      <c r="F19" s="8" t="n">
        <v>42</v>
      </c>
      <c r="G19" s="8" t="n">
        <v>0</v>
      </c>
      <c r="H19" s="14" t="s">
        <v>256</v>
      </c>
      <c r="I19" s="14" t="s">
        <v>303</v>
      </c>
      <c r="J19" s="14" t="s">
        <v>62</v>
      </c>
      <c r="K19" s="14" t="s">
        <v>304</v>
      </c>
    </row>
    <row r="20" customFormat="false" ht="23.85" hidden="false" customHeight="false" outlineLevel="0" collapsed="false">
      <c r="A20" s="18" t="s">
        <v>66</v>
      </c>
      <c r="B20" s="19" t="s">
        <v>67</v>
      </c>
      <c r="C20" s="19" t="s">
        <v>69</v>
      </c>
      <c r="D20" s="19" t="s">
        <v>135</v>
      </c>
      <c r="E20" s="19" t="s">
        <v>255</v>
      </c>
      <c r="F20" s="21" t="n">
        <v>0</v>
      </c>
      <c r="G20" s="21" t="n">
        <v>0</v>
      </c>
      <c r="H20" s="19" t="s">
        <v>256</v>
      </c>
      <c r="I20" s="19" t="s">
        <v>305</v>
      </c>
      <c r="J20" s="19" t="s">
        <v>103</v>
      </c>
      <c r="K20" s="19" t="s">
        <v>304</v>
      </c>
    </row>
    <row r="21" customFormat="false" ht="23.85" hidden="false" customHeight="false" outlineLevel="0" collapsed="false">
      <c r="A21" s="13" t="s">
        <v>59</v>
      </c>
      <c r="B21" s="14" t="s">
        <v>130</v>
      </c>
      <c r="C21" s="14" t="s">
        <v>69</v>
      </c>
      <c r="D21" s="14" t="s">
        <v>135</v>
      </c>
      <c r="E21" s="14" t="s">
        <v>255</v>
      </c>
      <c r="F21" s="8" t="n">
        <v>0</v>
      </c>
      <c r="G21" s="8" t="n">
        <v>43</v>
      </c>
      <c r="H21" s="14" t="s">
        <v>256</v>
      </c>
      <c r="I21" s="14" t="s">
        <v>306</v>
      </c>
      <c r="J21" s="14" t="s">
        <v>103</v>
      </c>
      <c r="K21" s="14" t="s">
        <v>304</v>
      </c>
    </row>
    <row r="22" customFormat="false" ht="23.85" hidden="false" customHeight="false" outlineLevel="0" collapsed="false">
      <c r="A22" s="18" t="s">
        <v>307</v>
      </c>
      <c r="B22" s="19" t="s">
        <v>308</v>
      </c>
      <c r="C22" s="19" t="s">
        <v>200</v>
      </c>
      <c r="D22" s="19" t="s">
        <v>201</v>
      </c>
      <c r="E22" s="19" t="s">
        <v>277</v>
      </c>
      <c r="F22" s="21" t="n">
        <v>0</v>
      </c>
      <c r="G22" s="21" t="n">
        <v>0</v>
      </c>
      <c r="H22" s="19" t="s">
        <v>256</v>
      </c>
      <c r="I22" s="19" t="s">
        <v>309</v>
      </c>
      <c r="J22" s="19" t="s">
        <v>310</v>
      </c>
      <c r="K22" s="19" t="s">
        <v>311</v>
      </c>
    </row>
    <row r="23" customFormat="false" ht="23.85" hidden="false" customHeight="false" outlineLevel="0" collapsed="false">
      <c r="A23" s="13" t="s">
        <v>312</v>
      </c>
      <c r="B23" s="14" t="s">
        <v>313</v>
      </c>
      <c r="C23" s="14" t="s">
        <v>200</v>
      </c>
      <c r="D23" s="14" t="s">
        <v>201</v>
      </c>
      <c r="E23" s="14" t="s">
        <v>277</v>
      </c>
      <c r="F23" s="8" t="n">
        <v>0</v>
      </c>
      <c r="G23" s="8" t="n">
        <v>0</v>
      </c>
      <c r="H23" s="14" t="s">
        <v>256</v>
      </c>
      <c r="I23" s="14" t="s">
        <v>314</v>
      </c>
      <c r="J23" s="14" t="s">
        <v>310</v>
      </c>
      <c r="K23" s="14" t="s">
        <v>311</v>
      </c>
    </row>
    <row r="24" customFormat="false" ht="23.85" hidden="false" customHeight="false" outlineLevel="0" collapsed="false">
      <c r="A24" s="18" t="s">
        <v>69</v>
      </c>
      <c r="B24" s="19" t="s">
        <v>135</v>
      </c>
      <c r="C24" s="19" t="s">
        <v>151</v>
      </c>
      <c r="D24" s="19" t="s">
        <v>153</v>
      </c>
      <c r="E24" s="19" t="s">
        <v>255</v>
      </c>
      <c r="F24" s="21" t="n">
        <v>0</v>
      </c>
      <c r="G24" s="21" t="n">
        <v>0</v>
      </c>
      <c r="H24" s="19" t="s">
        <v>256</v>
      </c>
      <c r="I24" s="19" t="s">
        <v>315</v>
      </c>
      <c r="J24" s="19" t="s">
        <v>316</v>
      </c>
      <c r="K24" s="19" t="s">
        <v>317</v>
      </c>
    </row>
    <row r="25" customFormat="false" ht="23.85" hidden="false" customHeight="false" outlineLevel="0" collapsed="false">
      <c r="A25" s="13" t="s">
        <v>151</v>
      </c>
      <c r="B25" s="14" t="s">
        <v>153</v>
      </c>
      <c r="C25" s="14" t="s">
        <v>155</v>
      </c>
      <c r="D25" s="14" t="s">
        <v>318</v>
      </c>
      <c r="E25" s="14" t="s">
        <v>255</v>
      </c>
      <c r="F25" s="8" t="n">
        <v>0</v>
      </c>
      <c r="G25" s="8" t="n">
        <v>22</v>
      </c>
      <c r="H25" s="14" t="s">
        <v>256</v>
      </c>
      <c r="I25" s="14" t="s">
        <v>319</v>
      </c>
      <c r="J25" s="14" t="s">
        <v>316</v>
      </c>
      <c r="K25" s="14" t="s">
        <v>320</v>
      </c>
    </row>
    <row r="26" customFormat="false" ht="23.85" hidden="false" customHeight="false" outlineLevel="0" collapsed="false">
      <c r="A26" s="18" t="s">
        <v>69</v>
      </c>
      <c r="B26" s="19" t="s">
        <v>135</v>
      </c>
      <c r="C26" s="19" t="s">
        <v>321</v>
      </c>
      <c r="D26" s="19" t="s">
        <v>322</v>
      </c>
      <c r="E26" s="19" t="s">
        <v>277</v>
      </c>
      <c r="F26" s="21" t="n">
        <v>0</v>
      </c>
      <c r="G26" s="21" t="n">
        <v>20</v>
      </c>
      <c r="H26" s="19" t="s">
        <v>256</v>
      </c>
      <c r="I26" s="19" t="s">
        <v>323</v>
      </c>
      <c r="J26" s="19" t="s">
        <v>103</v>
      </c>
      <c r="K26" s="19" t="s">
        <v>324</v>
      </c>
    </row>
    <row r="27" customFormat="false" ht="23.85" hidden="false" customHeight="false" outlineLevel="0" collapsed="false">
      <c r="A27" s="13" t="s">
        <v>325</v>
      </c>
      <c r="B27" s="14" t="s">
        <v>326</v>
      </c>
      <c r="C27" s="14" t="s">
        <v>160</v>
      </c>
      <c r="D27" s="14" t="s">
        <v>161</v>
      </c>
      <c r="E27" s="14" t="s">
        <v>255</v>
      </c>
      <c r="F27" s="8" t="n">
        <v>0</v>
      </c>
      <c r="G27" s="8" t="n">
        <v>135</v>
      </c>
      <c r="H27" s="14" t="s">
        <v>256</v>
      </c>
      <c r="I27" s="14" t="s">
        <v>327</v>
      </c>
      <c r="J27" s="14" t="s">
        <v>316</v>
      </c>
      <c r="K27" s="14" t="s">
        <v>328</v>
      </c>
    </row>
    <row r="28" customFormat="false" ht="23.85" hidden="false" customHeight="false" outlineLevel="0" collapsed="false">
      <c r="A28" s="18" t="s">
        <v>160</v>
      </c>
      <c r="B28" s="19" t="s">
        <v>161</v>
      </c>
      <c r="C28" s="19" t="s">
        <v>163</v>
      </c>
      <c r="D28" s="19" t="s">
        <v>167</v>
      </c>
      <c r="E28" s="19" t="s">
        <v>255</v>
      </c>
      <c r="F28" s="21" t="n">
        <v>0</v>
      </c>
      <c r="G28" s="21" t="n">
        <v>85</v>
      </c>
      <c r="H28" s="19" t="s">
        <v>256</v>
      </c>
      <c r="I28" s="19" t="s">
        <v>327</v>
      </c>
      <c r="J28" s="19" t="s">
        <v>316</v>
      </c>
      <c r="K28" s="19" t="s">
        <v>328</v>
      </c>
    </row>
    <row r="29" customFormat="false" ht="23.85" hidden="false" customHeight="false" outlineLevel="0" collapsed="false">
      <c r="A29" s="13" t="s">
        <v>329</v>
      </c>
      <c r="B29" s="14" t="s">
        <v>330</v>
      </c>
      <c r="C29" s="14" t="s">
        <v>163</v>
      </c>
      <c r="D29" s="14" t="s">
        <v>167</v>
      </c>
      <c r="E29" s="14" t="s">
        <v>277</v>
      </c>
      <c r="F29" s="8" t="n">
        <v>0</v>
      </c>
      <c r="G29" s="8" t="n">
        <v>0</v>
      </c>
      <c r="H29" s="14" t="s">
        <v>256</v>
      </c>
      <c r="I29" s="14" t="s">
        <v>331</v>
      </c>
      <c r="J29" s="14" t="s">
        <v>332</v>
      </c>
      <c r="K29" s="14" t="s">
        <v>328</v>
      </c>
    </row>
    <row r="30" customFormat="false" ht="35.05" hidden="false" customHeight="false" outlineLevel="0" collapsed="false">
      <c r="A30" s="18" t="s">
        <v>155</v>
      </c>
      <c r="B30" s="19" t="s">
        <v>318</v>
      </c>
      <c r="C30" s="19" t="s">
        <v>172</v>
      </c>
      <c r="D30" s="19" t="s">
        <v>173</v>
      </c>
      <c r="E30" s="19" t="s">
        <v>255</v>
      </c>
      <c r="F30" s="21" t="n">
        <v>0</v>
      </c>
      <c r="G30" s="21" t="n">
        <v>270</v>
      </c>
      <c r="H30" s="19" t="s">
        <v>256</v>
      </c>
      <c r="I30" s="19" t="s">
        <v>333</v>
      </c>
      <c r="J30" s="19" t="s">
        <v>316</v>
      </c>
      <c r="K30" s="19" t="s">
        <v>334</v>
      </c>
    </row>
    <row r="31" customFormat="false" ht="35.05" hidden="false" customHeight="false" outlineLevel="0" collapsed="false">
      <c r="A31" s="13" t="s">
        <v>163</v>
      </c>
      <c r="B31" s="14" t="s">
        <v>167</v>
      </c>
      <c r="C31" s="14" t="s">
        <v>172</v>
      </c>
      <c r="D31" s="14" t="s">
        <v>173</v>
      </c>
      <c r="E31" s="14" t="s">
        <v>277</v>
      </c>
      <c r="F31" s="8" t="n">
        <v>0</v>
      </c>
      <c r="G31" s="8" t="n">
        <v>0</v>
      </c>
      <c r="H31" s="14" t="s">
        <v>256</v>
      </c>
      <c r="I31" s="14" t="s">
        <v>335</v>
      </c>
      <c r="J31" s="14" t="s">
        <v>316</v>
      </c>
      <c r="K31" s="14" t="s">
        <v>334</v>
      </c>
    </row>
    <row r="32" customFormat="false" ht="23.85" hidden="false" customHeight="false" outlineLevel="0" collapsed="false">
      <c r="A32" s="18" t="s">
        <v>87</v>
      </c>
      <c r="B32" s="19" t="s">
        <v>88</v>
      </c>
      <c r="C32" s="19" t="s">
        <v>90</v>
      </c>
      <c r="D32" s="19" t="s">
        <v>94</v>
      </c>
      <c r="E32" s="19" t="s">
        <v>255</v>
      </c>
      <c r="F32" s="21" t="n">
        <v>0</v>
      </c>
      <c r="G32" s="21" t="n">
        <v>0</v>
      </c>
      <c r="H32" s="19" t="s">
        <v>256</v>
      </c>
      <c r="I32" s="19" t="s">
        <v>336</v>
      </c>
      <c r="J32" s="19" t="s">
        <v>91</v>
      </c>
      <c r="K32" s="19" t="s">
        <v>337</v>
      </c>
    </row>
    <row r="33" customFormat="false" ht="23.85" hidden="false" customHeight="false" outlineLevel="0" collapsed="false">
      <c r="A33" s="13" t="s">
        <v>71</v>
      </c>
      <c r="B33" s="14" t="s">
        <v>73</v>
      </c>
      <c r="C33" s="14" t="s">
        <v>90</v>
      </c>
      <c r="D33" s="14" t="s">
        <v>94</v>
      </c>
      <c r="E33" s="14" t="s">
        <v>255</v>
      </c>
      <c r="F33" s="8" t="n">
        <v>0</v>
      </c>
      <c r="G33" s="8" t="n">
        <v>4</v>
      </c>
      <c r="H33" s="14" t="s">
        <v>256</v>
      </c>
      <c r="I33" s="14" t="s">
        <v>338</v>
      </c>
      <c r="J33" s="14" t="s">
        <v>91</v>
      </c>
      <c r="K33" s="14" t="s">
        <v>339</v>
      </c>
    </row>
    <row r="34" customFormat="false" ht="23.85" hidden="false" customHeight="false" outlineLevel="0" collapsed="false">
      <c r="A34" s="18" t="s">
        <v>71</v>
      </c>
      <c r="B34" s="19" t="s">
        <v>73</v>
      </c>
      <c r="C34" s="19" t="s">
        <v>340</v>
      </c>
      <c r="D34" s="19" t="s">
        <v>341</v>
      </c>
      <c r="E34" s="19" t="s">
        <v>255</v>
      </c>
      <c r="F34" s="21" t="n">
        <v>0</v>
      </c>
      <c r="G34" s="21" t="n">
        <v>0</v>
      </c>
      <c r="H34" s="19" t="s">
        <v>256</v>
      </c>
      <c r="I34" s="19" t="s">
        <v>342</v>
      </c>
      <c r="J34" s="19" t="s">
        <v>85</v>
      </c>
      <c r="K34" s="19" t="s">
        <v>339</v>
      </c>
    </row>
    <row r="35" customFormat="false" ht="23.85" hidden="false" customHeight="false" outlineLevel="0" collapsed="false">
      <c r="A35" s="13" t="s">
        <v>343</v>
      </c>
      <c r="B35" s="14" t="s">
        <v>344</v>
      </c>
      <c r="C35" s="14" t="s">
        <v>71</v>
      </c>
      <c r="D35" s="14" t="s">
        <v>73</v>
      </c>
      <c r="E35" s="14" t="s">
        <v>291</v>
      </c>
      <c r="F35" s="8" t="n">
        <v>20</v>
      </c>
      <c r="G35" s="8" t="n">
        <v>0</v>
      </c>
      <c r="H35" s="14" t="s">
        <v>256</v>
      </c>
      <c r="I35" s="14" t="s">
        <v>345</v>
      </c>
      <c r="J35" s="14" t="s">
        <v>85</v>
      </c>
      <c r="K35" s="14" t="s">
        <v>339</v>
      </c>
    </row>
    <row r="36" customFormat="false" ht="23.85" hidden="false" customHeight="false" outlineLevel="0" collapsed="false">
      <c r="A36" s="18" t="s">
        <v>90</v>
      </c>
      <c r="B36" s="19" t="s">
        <v>94</v>
      </c>
      <c r="C36" s="19" t="s">
        <v>346</v>
      </c>
      <c r="D36" s="19" t="s">
        <v>347</v>
      </c>
      <c r="E36" s="19" t="s">
        <v>255</v>
      </c>
      <c r="F36" s="21" t="n">
        <v>0</v>
      </c>
      <c r="G36" s="21" t="n">
        <v>38</v>
      </c>
      <c r="H36" s="19" t="s">
        <v>256</v>
      </c>
      <c r="I36" s="19" t="s">
        <v>348</v>
      </c>
      <c r="J36" s="19" t="s">
        <v>91</v>
      </c>
      <c r="K36" s="19" t="s">
        <v>349</v>
      </c>
    </row>
    <row r="37" customFormat="false" ht="23.85" hidden="false" customHeight="false" outlineLevel="0" collapsed="false">
      <c r="A37" s="13" t="s">
        <v>346</v>
      </c>
      <c r="B37" s="14" t="s">
        <v>347</v>
      </c>
      <c r="C37" s="14" t="s">
        <v>195</v>
      </c>
      <c r="D37" s="14" t="s">
        <v>196</v>
      </c>
      <c r="E37" s="14" t="s">
        <v>255</v>
      </c>
      <c r="F37" s="8" t="n">
        <v>0</v>
      </c>
      <c r="G37" s="8" t="n">
        <v>0</v>
      </c>
      <c r="H37" s="14" t="s">
        <v>256</v>
      </c>
      <c r="I37" s="14" t="s">
        <v>350</v>
      </c>
      <c r="J37" s="14" t="s">
        <v>351</v>
      </c>
      <c r="K37" s="14" t="s">
        <v>349</v>
      </c>
    </row>
    <row r="38" customFormat="false" ht="23.85" hidden="false" customHeight="false" outlineLevel="0" collapsed="false">
      <c r="A38" s="18" t="s">
        <v>83</v>
      </c>
      <c r="B38" s="19" t="s">
        <v>352</v>
      </c>
      <c r="C38" s="19" t="s">
        <v>195</v>
      </c>
      <c r="D38" s="19" t="s">
        <v>196</v>
      </c>
      <c r="E38" s="19" t="s">
        <v>255</v>
      </c>
      <c r="F38" s="21" t="n">
        <v>0</v>
      </c>
      <c r="G38" s="21" t="n">
        <v>116</v>
      </c>
      <c r="H38" s="19" t="s">
        <v>256</v>
      </c>
      <c r="I38" s="19" t="s">
        <v>353</v>
      </c>
      <c r="J38" s="19" t="s">
        <v>103</v>
      </c>
      <c r="K38" s="19" t="s">
        <v>349</v>
      </c>
    </row>
    <row r="39" customFormat="false" ht="23.85" hidden="false" customHeight="false" outlineLevel="0" collapsed="false">
      <c r="A39" s="13" t="s">
        <v>99</v>
      </c>
      <c r="B39" s="14" t="s">
        <v>100</v>
      </c>
      <c r="C39" s="14" t="s">
        <v>102</v>
      </c>
      <c r="D39" s="14" t="s">
        <v>116</v>
      </c>
      <c r="E39" s="14" t="s">
        <v>255</v>
      </c>
      <c r="F39" s="8" t="n">
        <v>0</v>
      </c>
      <c r="G39" s="8" t="n">
        <v>45</v>
      </c>
      <c r="H39" s="14" t="s">
        <v>256</v>
      </c>
      <c r="I39" s="14" t="s">
        <v>354</v>
      </c>
      <c r="J39" s="14" t="s">
        <v>103</v>
      </c>
      <c r="K39" s="14" t="s">
        <v>355</v>
      </c>
    </row>
    <row r="40" customFormat="false" ht="23.85" hidden="false" customHeight="false" outlineLevel="0" collapsed="false">
      <c r="A40" s="18" t="s">
        <v>356</v>
      </c>
      <c r="B40" s="19" t="s">
        <v>357</v>
      </c>
      <c r="C40" s="19" t="s">
        <v>102</v>
      </c>
      <c r="D40" s="19" t="s">
        <v>116</v>
      </c>
      <c r="E40" s="19" t="s">
        <v>255</v>
      </c>
      <c r="F40" s="21" t="n">
        <v>0</v>
      </c>
      <c r="G40" s="21" t="n">
        <v>20</v>
      </c>
      <c r="H40" s="19" t="s">
        <v>256</v>
      </c>
      <c r="I40" s="19" t="s">
        <v>354</v>
      </c>
      <c r="J40" s="19" t="s">
        <v>103</v>
      </c>
      <c r="K40" s="19" t="s">
        <v>355</v>
      </c>
    </row>
    <row r="41" customFormat="false" ht="23.85" hidden="false" customHeight="false" outlineLevel="0" collapsed="false">
      <c r="A41" s="13" t="s">
        <v>358</v>
      </c>
      <c r="B41" s="14" t="s">
        <v>359</v>
      </c>
      <c r="C41" s="14" t="s">
        <v>102</v>
      </c>
      <c r="D41" s="14" t="s">
        <v>116</v>
      </c>
      <c r="E41" s="14" t="s">
        <v>255</v>
      </c>
      <c r="F41" s="8" t="n">
        <v>0</v>
      </c>
      <c r="G41" s="8" t="n">
        <v>9</v>
      </c>
      <c r="H41" s="14" t="s">
        <v>256</v>
      </c>
      <c r="I41" s="14" t="s">
        <v>354</v>
      </c>
      <c r="J41" s="14" t="s">
        <v>103</v>
      </c>
      <c r="K41" s="14" t="s">
        <v>355</v>
      </c>
    </row>
    <row r="42" customFormat="false" ht="23.85" hidden="false" customHeight="false" outlineLevel="0" collapsed="false">
      <c r="A42" s="18" t="s">
        <v>360</v>
      </c>
      <c r="B42" s="19" t="s">
        <v>361</v>
      </c>
      <c r="C42" s="19" t="s">
        <v>102</v>
      </c>
      <c r="D42" s="19" t="s">
        <v>116</v>
      </c>
      <c r="E42" s="19" t="s">
        <v>255</v>
      </c>
      <c r="F42" s="21" t="n">
        <v>0</v>
      </c>
      <c r="G42" s="21" t="n">
        <v>15</v>
      </c>
      <c r="H42" s="19" t="s">
        <v>256</v>
      </c>
      <c r="I42" s="19" t="s">
        <v>354</v>
      </c>
      <c r="J42" s="19" t="s">
        <v>103</v>
      </c>
      <c r="K42" s="19" t="s">
        <v>355</v>
      </c>
    </row>
    <row r="43" customFormat="false" ht="23.85" hidden="false" customHeight="false" outlineLevel="0" collapsed="false">
      <c r="A43" s="13" t="s">
        <v>193</v>
      </c>
      <c r="B43" s="14" t="s">
        <v>194</v>
      </c>
      <c r="C43" s="14" t="s">
        <v>102</v>
      </c>
      <c r="D43" s="14" t="s">
        <v>116</v>
      </c>
      <c r="E43" s="14" t="s">
        <v>255</v>
      </c>
      <c r="F43" s="8" t="n">
        <v>0</v>
      </c>
      <c r="G43" s="8" t="n">
        <v>0</v>
      </c>
      <c r="H43" s="14" t="s">
        <v>256</v>
      </c>
      <c r="I43" s="14" t="s">
        <v>354</v>
      </c>
      <c r="J43" s="14" t="s">
        <v>103</v>
      </c>
      <c r="K43" s="14" t="s">
        <v>355</v>
      </c>
    </row>
    <row r="44" customFormat="false" ht="23.85" hidden="false" customHeight="false" outlineLevel="0" collapsed="false">
      <c r="A44" s="18" t="s">
        <v>362</v>
      </c>
      <c r="B44" s="19" t="s">
        <v>363</v>
      </c>
      <c r="C44" s="19" t="s">
        <v>102</v>
      </c>
      <c r="D44" s="19" t="s">
        <v>116</v>
      </c>
      <c r="E44" s="19" t="s">
        <v>255</v>
      </c>
      <c r="F44" s="21" t="n">
        <v>0</v>
      </c>
      <c r="G44" s="21" t="n">
        <v>25</v>
      </c>
      <c r="H44" s="19" t="s">
        <v>256</v>
      </c>
      <c r="I44" s="19" t="s">
        <v>354</v>
      </c>
      <c r="J44" s="19" t="s">
        <v>103</v>
      </c>
      <c r="K44" s="19" t="s">
        <v>355</v>
      </c>
    </row>
    <row r="45" customFormat="false" ht="23.85" hidden="false" customHeight="false" outlineLevel="0" collapsed="false">
      <c r="A45" s="13" t="s">
        <v>364</v>
      </c>
      <c r="B45" s="14" t="s">
        <v>365</v>
      </c>
      <c r="C45" s="14" t="s">
        <v>102</v>
      </c>
      <c r="D45" s="14" t="s">
        <v>116</v>
      </c>
      <c r="E45" s="14" t="s">
        <v>291</v>
      </c>
      <c r="F45" s="8" t="n">
        <v>40</v>
      </c>
      <c r="G45" s="8" t="n">
        <v>4</v>
      </c>
      <c r="H45" s="14" t="s">
        <v>256</v>
      </c>
      <c r="I45" s="14" t="s">
        <v>366</v>
      </c>
      <c r="J45" s="14" t="s">
        <v>103</v>
      </c>
      <c r="K45" s="14" t="s">
        <v>355</v>
      </c>
    </row>
    <row r="46" customFormat="false" ht="23.85" hidden="false" customHeight="false" outlineLevel="0" collapsed="false">
      <c r="A46" s="18" t="s">
        <v>367</v>
      </c>
      <c r="B46" s="19" t="s">
        <v>368</v>
      </c>
      <c r="C46" s="19" t="s">
        <v>102</v>
      </c>
      <c r="D46" s="19" t="s">
        <v>116</v>
      </c>
      <c r="E46" s="19" t="s">
        <v>291</v>
      </c>
      <c r="F46" s="21" t="n">
        <v>40</v>
      </c>
      <c r="G46" s="21" t="n">
        <v>4</v>
      </c>
      <c r="H46" s="19" t="s">
        <v>256</v>
      </c>
      <c r="I46" s="19" t="s">
        <v>369</v>
      </c>
      <c r="J46" s="19" t="s">
        <v>103</v>
      </c>
      <c r="K46" s="19" t="s">
        <v>355</v>
      </c>
    </row>
    <row r="47" customFormat="false" ht="23.85" hidden="false" customHeight="false" outlineLevel="0" collapsed="false">
      <c r="A47" s="13" t="s">
        <v>102</v>
      </c>
      <c r="B47" s="14" t="s">
        <v>116</v>
      </c>
      <c r="C47" s="14" t="s">
        <v>83</v>
      </c>
      <c r="D47" s="14" t="s">
        <v>352</v>
      </c>
      <c r="E47" s="14" t="s">
        <v>277</v>
      </c>
      <c r="F47" s="8" t="n">
        <v>0</v>
      </c>
      <c r="G47" s="8" t="n">
        <v>2</v>
      </c>
      <c r="H47" s="14" t="s">
        <v>256</v>
      </c>
      <c r="I47" s="14" t="s">
        <v>370</v>
      </c>
      <c r="J47" s="14" t="s">
        <v>103</v>
      </c>
      <c r="K47" s="14" t="s">
        <v>355</v>
      </c>
    </row>
    <row r="48" customFormat="false" ht="23.85" hidden="false" customHeight="false" outlineLevel="0" collapsed="false">
      <c r="A48" s="18" t="s">
        <v>356</v>
      </c>
      <c r="B48" s="19" t="s">
        <v>357</v>
      </c>
      <c r="C48" s="19" t="s">
        <v>371</v>
      </c>
      <c r="D48" s="19" t="s">
        <v>372</v>
      </c>
      <c r="E48" s="19" t="s">
        <v>277</v>
      </c>
      <c r="F48" s="21" t="n">
        <v>0</v>
      </c>
      <c r="G48" s="21" t="n">
        <v>10</v>
      </c>
      <c r="H48" s="19" t="s">
        <v>256</v>
      </c>
      <c r="I48" s="19" t="s">
        <v>373</v>
      </c>
      <c r="J48" s="19" t="s">
        <v>103</v>
      </c>
      <c r="K48" s="19" t="s">
        <v>355</v>
      </c>
    </row>
    <row r="49" customFormat="false" ht="23.85" hidden="false" customHeight="false" outlineLevel="0" collapsed="false">
      <c r="A49" s="13" t="s">
        <v>358</v>
      </c>
      <c r="B49" s="14" t="s">
        <v>359</v>
      </c>
      <c r="C49" s="14" t="s">
        <v>374</v>
      </c>
      <c r="D49" s="14" t="s">
        <v>375</v>
      </c>
      <c r="E49" s="14" t="s">
        <v>277</v>
      </c>
      <c r="F49" s="8" t="n">
        <v>0</v>
      </c>
      <c r="G49" s="8" t="n">
        <v>0</v>
      </c>
      <c r="H49" s="14" t="s">
        <v>256</v>
      </c>
      <c r="I49" s="14" t="s">
        <v>376</v>
      </c>
      <c r="J49" s="14" t="s">
        <v>103</v>
      </c>
      <c r="K49" s="14" t="s">
        <v>355</v>
      </c>
    </row>
    <row r="50" customFormat="false" ht="23.85" hidden="false" customHeight="false" outlineLevel="0" collapsed="false">
      <c r="A50" s="18" t="s">
        <v>377</v>
      </c>
      <c r="B50" s="19" t="s">
        <v>378</v>
      </c>
      <c r="C50" s="19" t="s">
        <v>120</v>
      </c>
      <c r="D50" s="19" t="s">
        <v>121</v>
      </c>
      <c r="E50" s="19" t="s">
        <v>291</v>
      </c>
      <c r="F50" s="21" t="n">
        <v>30</v>
      </c>
      <c r="G50" s="21" t="n">
        <v>3</v>
      </c>
      <c r="H50" s="19" t="s">
        <v>256</v>
      </c>
      <c r="I50" s="19" t="s">
        <v>379</v>
      </c>
      <c r="J50" s="19" t="s">
        <v>103</v>
      </c>
      <c r="K50" s="19" t="s">
        <v>380</v>
      </c>
    </row>
    <row r="51" customFormat="false" ht="23.85" hidden="false" customHeight="false" outlineLevel="0" collapsed="false">
      <c r="A51" s="13" t="s">
        <v>120</v>
      </c>
      <c r="B51" s="14" t="s">
        <v>121</v>
      </c>
      <c r="C51" s="14" t="s">
        <v>83</v>
      </c>
      <c r="D51" s="14" t="s">
        <v>352</v>
      </c>
      <c r="E51" s="14" t="s">
        <v>277</v>
      </c>
      <c r="F51" s="8" t="n">
        <v>0</v>
      </c>
      <c r="G51" s="8" t="n">
        <v>2</v>
      </c>
      <c r="H51" s="14" t="s">
        <v>256</v>
      </c>
      <c r="I51" s="14" t="s">
        <v>381</v>
      </c>
      <c r="J51" s="14" t="s">
        <v>103</v>
      </c>
      <c r="K51" s="14" t="s">
        <v>380</v>
      </c>
    </row>
    <row r="52" customFormat="false" ht="23.85" hidden="false" customHeight="false" outlineLevel="0" collapsed="false">
      <c r="A52" s="18" t="s">
        <v>377</v>
      </c>
      <c r="B52" s="19" t="s">
        <v>378</v>
      </c>
      <c r="C52" s="19" t="s">
        <v>382</v>
      </c>
      <c r="D52" s="19" t="s">
        <v>383</v>
      </c>
      <c r="E52" s="19" t="s">
        <v>277</v>
      </c>
      <c r="F52" s="21" t="n">
        <v>0</v>
      </c>
      <c r="G52" s="21" t="n">
        <v>44</v>
      </c>
      <c r="H52" s="19" t="s">
        <v>256</v>
      </c>
      <c r="I52" s="19" t="s">
        <v>384</v>
      </c>
      <c r="J52" s="19" t="s">
        <v>103</v>
      </c>
      <c r="K52" s="19" t="s">
        <v>380</v>
      </c>
    </row>
    <row r="53" customFormat="false" ht="23.85" hidden="false" customHeight="false" outlineLevel="0" collapsed="false">
      <c r="A53" s="13" t="s">
        <v>367</v>
      </c>
      <c r="B53" s="14" t="s">
        <v>368</v>
      </c>
      <c r="C53" s="14" t="s">
        <v>382</v>
      </c>
      <c r="D53" s="14" t="s">
        <v>383</v>
      </c>
      <c r="E53" s="14" t="s">
        <v>255</v>
      </c>
      <c r="F53" s="8" t="n">
        <v>0</v>
      </c>
      <c r="G53" s="8" t="n">
        <v>10</v>
      </c>
      <c r="H53" s="14" t="s">
        <v>256</v>
      </c>
      <c r="I53" s="14" t="s">
        <v>385</v>
      </c>
      <c r="J53" s="14" t="s">
        <v>103</v>
      </c>
      <c r="K53" s="14" t="s">
        <v>355</v>
      </c>
    </row>
    <row r="54" customFormat="false" ht="23.85" hidden="false" customHeight="false" outlineLevel="0" collapsed="false">
      <c r="A54" s="18" t="s">
        <v>83</v>
      </c>
      <c r="B54" s="19" t="s">
        <v>352</v>
      </c>
      <c r="C54" s="19" t="s">
        <v>382</v>
      </c>
      <c r="D54" s="19" t="s">
        <v>383</v>
      </c>
      <c r="E54" s="19" t="s">
        <v>255</v>
      </c>
      <c r="F54" s="21" t="n">
        <v>0</v>
      </c>
      <c r="G54" s="21" t="n">
        <v>43</v>
      </c>
      <c r="H54" s="19" t="s">
        <v>256</v>
      </c>
      <c r="I54" s="19" t="s">
        <v>386</v>
      </c>
      <c r="J54" s="19" t="s">
        <v>103</v>
      </c>
      <c r="K54" s="19" t="s">
        <v>387</v>
      </c>
    </row>
    <row r="55" customFormat="false" ht="15" hidden="false" customHeight="false" outlineLevel="0" collapsed="false">
      <c r="A55" s="13" t="s">
        <v>388</v>
      </c>
      <c r="B55" s="14" t="s">
        <v>389</v>
      </c>
      <c r="C55" s="14" t="s">
        <v>382</v>
      </c>
      <c r="D55" s="14" t="s">
        <v>383</v>
      </c>
      <c r="E55" s="14" t="s">
        <v>255</v>
      </c>
      <c r="F55" s="8" t="n">
        <v>0</v>
      </c>
      <c r="G55" s="8" t="n">
        <v>30</v>
      </c>
      <c r="H55" s="14" t="s">
        <v>256</v>
      </c>
      <c r="I55" s="14" t="s">
        <v>390</v>
      </c>
      <c r="J55" s="14" t="s">
        <v>103</v>
      </c>
      <c r="K55" s="14" t="s">
        <v>387</v>
      </c>
    </row>
    <row r="56" customFormat="false" ht="23.85" hidden="false" customHeight="false" outlineLevel="0" collapsed="false">
      <c r="A56" s="18" t="s">
        <v>382</v>
      </c>
      <c r="B56" s="19" t="s">
        <v>383</v>
      </c>
      <c r="C56" s="19" t="s">
        <v>294</v>
      </c>
      <c r="D56" s="19" t="s">
        <v>295</v>
      </c>
      <c r="E56" s="19" t="s">
        <v>291</v>
      </c>
      <c r="F56" s="21" t="n">
        <v>0</v>
      </c>
      <c r="G56" s="21" t="n">
        <v>8</v>
      </c>
      <c r="H56" s="19" t="s">
        <v>256</v>
      </c>
      <c r="I56" s="19" t="s">
        <v>391</v>
      </c>
      <c r="J56" s="19" t="s">
        <v>103</v>
      </c>
      <c r="K56" s="19" t="s">
        <v>297</v>
      </c>
    </row>
    <row r="57" customFormat="false" ht="23.85" hidden="false" customHeight="false" outlineLevel="0" collapsed="false">
      <c r="A57" s="13" t="s">
        <v>392</v>
      </c>
      <c r="B57" s="14" t="s">
        <v>393</v>
      </c>
      <c r="C57" s="14" t="s">
        <v>79</v>
      </c>
      <c r="D57" s="14" t="s">
        <v>81</v>
      </c>
      <c r="E57" s="14" t="s">
        <v>277</v>
      </c>
      <c r="F57" s="8" t="n">
        <v>-10</v>
      </c>
      <c r="G57" s="8" t="n">
        <v>0</v>
      </c>
      <c r="H57" s="14" t="s">
        <v>256</v>
      </c>
      <c r="I57" s="14" t="s">
        <v>394</v>
      </c>
      <c r="J57" s="14" t="s">
        <v>85</v>
      </c>
      <c r="K57" s="14" t="s">
        <v>395</v>
      </c>
    </row>
    <row r="58" customFormat="false" ht="23.85" hidden="false" customHeight="false" outlineLevel="0" collapsed="false">
      <c r="A58" s="18" t="s">
        <v>79</v>
      </c>
      <c r="B58" s="19" t="s">
        <v>81</v>
      </c>
      <c r="C58" s="19" t="s">
        <v>83</v>
      </c>
      <c r="D58" s="19" t="s">
        <v>352</v>
      </c>
      <c r="E58" s="19" t="s">
        <v>277</v>
      </c>
      <c r="F58" s="21" t="n">
        <v>0</v>
      </c>
      <c r="G58" s="21" t="n">
        <v>2</v>
      </c>
      <c r="H58" s="19" t="s">
        <v>256</v>
      </c>
      <c r="I58" s="19" t="s">
        <v>396</v>
      </c>
      <c r="J58" s="19" t="s">
        <v>103</v>
      </c>
      <c r="K58" s="19" t="s">
        <v>395</v>
      </c>
    </row>
    <row r="59" customFormat="false" ht="23.85" hidden="false" customHeight="false" outlineLevel="0" collapsed="false">
      <c r="A59" s="13" t="s">
        <v>397</v>
      </c>
      <c r="B59" s="14" t="s">
        <v>398</v>
      </c>
      <c r="C59" s="14" t="s">
        <v>140</v>
      </c>
      <c r="D59" s="14" t="s">
        <v>141</v>
      </c>
      <c r="E59" s="14" t="s">
        <v>277</v>
      </c>
      <c r="F59" s="8" t="n">
        <v>-10</v>
      </c>
      <c r="G59" s="8" t="n">
        <v>0</v>
      </c>
      <c r="H59" s="14" t="s">
        <v>256</v>
      </c>
      <c r="I59" s="14" t="s">
        <v>399</v>
      </c>
      <c r="J59" s="14" t="s">
        <v>143</v>
      </c>
      <c r="K59" s="14" t="s">
        <v>400</v>
      </c>
    </row>
    <row r="60" customFormat="false" ht="23.85" hidden="false" customHeight="false" outlineLevel="0" collapsed="false">
      <c r="A60" s="18" t="s">
        <v>140</v>
      </c>
      <c r="B60" s="19" t="s">
        <v>141</v>
      </c>
      <c r="C60" s="19" t="s">
        <v>83</v>
      </c>
      <c r="D60" s="19" t="s">
        <v>352</v>
      </c>
      <c r="E60" s="19" t="s">
        <v>277</v>
      </c>
      <c r="F60" s="21" t="n">
        <v>0</v>
      </c>
      <c r="G60" s="21" t="n">
        <v>2</v>
      </c>
      <c r="H60" s="19" t="s">
        <v>256</v>
      </c>
      <c r="I60" s="19" t="s">
        <v>401</v>
      </c>
      <c r="J60" s="19" t="s">
        <v>103</v>
      </c>
      <c r="K60" s="19" t="s">
        <v>400</v>
      </c>
    </row>
    <row r="61" customFormat="false" ht="15" hidden="false" customHeight="false" outlineLevel="0" collapsed="false">
      <c r="A61" s="13" t="s">
        <v>402</v>
      </c>
      <c r="B61" s="14" t="s">
        <v>403</v>
      </c>
      <c r="C61" s="14" t="s">
        <v>275</v>
      </c>
      <c r="D61" s="14" t="s">
        <v>276</v>
      </c>
      <c r="E61" s="14" t="s">
        <v>255</v>
      </c>
      <c r="F61" s="8" t="n">
        <v>0</v>
      </c>
      <c r="G61" s="8" t="n">
        <v>0</v>
      </c>
      <c r="H61" s="14" t="s">
        <v>256</v>
      </c>
      <c r="I61" s="14" t="s">
        <v>404</v>
      </c>
      <c r="J61" s="14" t="s">
        <v>62</v>
      </c>
      <c r="K61" s="14" t="s">
        <v>405</v>
      </c>
    </row>
    <row r="62" customFormat="false" ht="23.85" hidden="false" customHeight="false" outlineLevel="0" collapsed="false">
      <c r="A62" s="18" t="s">
        <v>406</v>
      </c>
      <c r="B62" s="19" t="s">
        <v>407</v>
      </c>
      <c r="C62" s="19" t="s">
        <v>275</v>
      </c>
      <c r="D62" s="19" t="s">
        <v>276</v>
      </c>
      <c r="E62" s="19" t="s">
        <v>277</v>
      </c>
      <c r="F62" s="21" t="n">
        <v>0</v>
      </c>
      <c r="G62" s="21" t="n">
        <v>156</v>
      </c>
      <c r="H62" s="19" t="s">
        <v>256</v>
      </c>
      <c r="I62" s="19" t="s">
        <v>408</v>
      </c>
      <c r="J62" s="19" t="s">
        <v>62</v>
      </c>
      <c r="K62" s="19" t="s">
        <v>405</v>
      </c>
    </row>
    <row r="63" customFormat="false" ht="23.85" hidden="false" customHeight="false" outlineLevel="0" collapsed="false">
      <c r="A63" s="13" t="s">
        <v>409</v>
      </c>
      <c r="B63" s="14" t="s">
        <v>410</v>
      </c>
      <c r="C63" s="14" t="s">
        <v>411</v>
      </c>
      <c r="D63" s="14" t="s">
        <v>412</v>
      </c>
      <c r="E63" s="14" t="s">
        <v>255</v>
      </c>
      <c r="F63" s="8" t="n">
        <v>-5</v>
      </c>
      <c r="G63" s="8" t="n">
        <v>0</v>
      </c>
      <c r="H63" s="14" t="s">
        <v>256</v>
      </c>
      <c r="I63" s="14" t="s">
        <v>413</v>
      </c>
      <c r="J63" s="14" t="s">
        <v>316</v>
      </c>
      <c r="K63" s="14" t="s">
        <v>414</v>
      </c>
    </row>
    <row r="64" customFormat="false" ht="23.85" hidden="false" customHeight="false" outlineLevel="0" collapsed="false">
      <c r="A64" s="18" t="s">
        <v>415</v>
      </c>
      <c r="B64" s="19" t="s">
        <v>416</v>
      </c>
      <c r="C64" s="19" t="s">
        <v>417</v>
      </c>
      <c r="D64" s="19" t="s">
        <v>418</v>
      </c>
      <c r="E64" s="19" t="s">
        <v>255</v>
      </c>
      <c r="F64" s="21" t="n">
        <v>-5</v>
      </c>
      <c r="G64" s="21" t="n">
        <v>0</v>
      </c>
      <c r="H64" s="19" t="s">
        <v>256</v>
      </c>
      <c r="I64" s="19" t="s">
        <v>413</v>
      </c>
      <c r="J64" s="19" t="s">
        <v>316</v>
      </c>
      <c r="K64" s="19" t="s">
        <v>414</v>
      </c>
    </row>
    <row r="65" customFormat="false" ht="23.85" hidden="false" customHeight="false" outlineLevel="0" collapsed="false">
      <c r="A65" s="13" t="s">
        <v>419</v>
      </c>
      <c r="B65" s="14" t="s">
        <v>420</v>
      </c>
      <c r="C65" s="14" t="s">
        <v>421</v>
      </c>
      <c r="D65" s="14" t="s">
        <v>422</v>
      </c>
      <c r="E65" s="14" t="s">
        <v>277</v>
      </c>
      <c r="F65" s="8" t="n">
        <v>0</v>
      </c>
      <c r="G65" s="8" t="n">
        <v>65</v>
      </c>
      <c r="H65" s="14" t="s">
        <v>256</v>
      </c>
      <c r="I65" s="14" t="s">
        <v>423</v>
      </c>
      <c r="J65" s="14" t="s">
        <v>91</v>
      </c>
      <c r="K65" s="14" t="s">
        <v>424</v>
      </c>
    </row>
    <row r="66" customFormat="false" ht="23.85" hidden="false" customHeight="false" outlineLevel="0" collapsed="false">
      <c r="A66" s="18" t="s">
        <v>425</v>
      </c>
      <c r="B66" s="19" t="s">
        <v>426</v>
      </c>
      <c r="C66" s="19" t="s">
        <v>283</v>
      </c>
      <c r="D66" s="19" t="s">
        <v>284</v>
      </c>
      <c r="E66" s="19" t="s">
        <v>255</v>
      </c>
      <c r="F66" s="21" t="n">
        <v>0</v>
      </c>
      <c r="G66" s="21" t="n">
        <v>186</v>
      </c>
      <c r="H66" s="19" t="s">
        <v>256</v>
      </c>
      <c r="I66" s="19" t="s">
        <v>427</v>
      </c>
      <c r="J66" s="19" t="s">
        <v>428</v>
      </c>
      <c r="K66" s="19" t="s">
        <v>429</v>
      </c>
    </row>
    <row r="67" customFormat="false" ht="23.85" hidden="false" customHeight="false" outlineLevel="0" collapsed="false">
      <c r="A67" s="13" t="s">
        <v>283</v>
      </c>
      <c r="B67" s="14" t="s">
        <v>284</v>
      </c>
      <c r="C67" s="14" t="s">
        <v>184</v>
      </c>
      <c r="D67" s="14" t="s">
        <v>185</v>
      </c>
      <c r="E67" s="14" t="s">
        <v>291</v>
      </c>
      <c r="F67" s="8" t="n">
        <v>40</v>
      </c>
      <c r="G67" s="8" t="n">
        <v>0</v>
      </c>
      <c r="H67" s="14" t="s">
        <v>256</v>
      </c>
      <c r="I67" s="14" t="s">
        <v>430</v>
      </c>
      <c r="J67" s="14" t="s">
        <v>182</v>
      </c>
      <c r="K67" s="14" t="s">
        <v>429</v>
      </c>
    </row>
    <row r="68" customFormat="false" ht="23.85" hidden="false" customHeight="false" outlineLevel="0" collapsed="false">
      <c r="A68" s="18" t="s">
        <v>214</v>
      </c>
      <c r="B68" s="19" t="s">
        <v>215</v>
      </c>
      <c r="C68" s="19" t="s">
        <v>216</v>
      </c>
      <c r="D68" s="19" t="s">
        <v>431</v>
      </c>
      <c r="E68" s="19" t="s">
        <v>255</v>
      </c>
      <c r="F68" s="21" t="n">
        <v>0</v>
      </c>
      <c r="G68" s="21" t="n">
        <v>52</v>
      </c>
      <c r="H68" s="19" t="s">
        <v>256</v>
      </c>
      <c r="I68" s="19" t="s">
        <v>432</v>
      </c>
      <c r="J68" s="19" t="s">
        <v>62</v>
      </c>
      <c r="K68" s="19" t="s">
        <v>433</v>
      </c>
    </row>
    <row r="69" customFormat="false" ht="23.85" hidden="false" customHeight="false" outlineLevel="0" collapsed="false">
      <c r="A69" s="13" t="s">
        <v>102</v>
      </c>
      <c r="B69" s="14" t="s">
        <v>116</v>
      </c>
      <c r="C69" s="14" t="s">
        <v>219</v>
      </c>
      <c r="D69" s="14" t="s">
        <v>221</v>
      </c>
      <c r="E69" s="14" t="s">
        <v>255</v>
      </c>
      <c r="F69" s="8" t="n">
        <v>0</v>
      </c>
      <c r="G69" s="8" t="n">
        <v>0</v>
      </c>
      <c r="H69" s="14" t="s">
        <v>256</v>
      </c>
      <c r="I69" s="14" t="s">
        <v>434</v>
      </c>
      <c r="J69" s="14" t="s">
        <v>435</v>
      </c>
      <c r="K69" s="14" t="s">
        <v>219</v>
      </c>
    </row>
    <row r="70" customFormat="false" ht="23.85" hidden="false" customHeight="false" outlineLevel="0" collapsed="false">
      <c r="A70" s="18" t="s">
        <v>90</v>
      </c>
      <c r="B70" s="19" t="s">
        <v>94</v>
      </c>
      <c r="C70" s="19" t="s">
        <v>226</v>
      </c>
      <c r="D70" s="19" t="s">
        <v>227</v>
      </c>
      <c r="E70" s="19" t="s">
        <v>255</v>
      </c>
      <c r="F70" s="21" t="n">
        <v>0</v>
      </c>
      <c r="G70" s="21" t="n">
        <v>0</v>
      </c>
      <c r="H70" s="19" t="s">
        <v>256</v>
      </c>
      <c r="I70" s="19" t="s">
        <v>434</v>
      </c>
      <c r="J70" s="19" t="s">
        <v>435</v>
      </c>
      <c r="K70" s="19" t="s">
        <v>226</v>
      </c>
    </row>
    <row r="71" customFormat="false" ht="15" hidden="false" customHeight="false" outlineLevel="0" collapsed="false">
      <c r="A71" s="13" t="s">
        <v>388</v>
      </c>
      <c r="B71" s="14" t="s">
        <v>389</v>
      </c>
      <c r="C71" s="14" t="s">
        <v>226</v>
      </c>
      <c r="D71" s="14" t="s">
        <v>227</v>
      </c>
      <c r="E71" s="14" t="s">
        <v>255</v>
      </c>
      <c r="F71" s="8" t="n">
        <v>0</v>
      </c>
      <c r="G71" s="8" t="n">
        <v>0</v>
      </c>
      <c r="H71" s="14" t="s">
        <v>256</v>
      </c>
      <c r="I71" s="14" t="s">
        <v>434</v>
      </c>
      <c r="J71" s="14" t="s">
        <v>435</v>
      </c>
      <c r="K71" s="14" t="s">
        <v>226</v>
      </c>
    </row>
    <row r="72" customFormat="false" ht="35.05" hidden="false" customHeight="false" outlineLevel="0" collapsed="false">
      <c r="A72" s="18" t="s">
        <v>436</v>
      </c>
      <c r="B72" s="19" t="s">
        <v>437</v>
      </c>
      <c r="C72" s="19" t="s">
        <v>226</v>
      </c>
      <c r="D72" s="19" t="s">
        <v>227</v>
      </c>
      <c r="E72" s="19" t="s">
        <v>255</v>
      </c>
      <c r="F72" s="21" t="n">
        <v>0</v>
      </c>
      <c r="G72" s="21" t="n">
        <v>5</v>
      </c>
      <c r="H72" s="19" t="s">
        <v>256</v>
      </c>
      <c r="I72" s="19" t="s">
        <v>434</v>
      </c>
      <c r="J72" s="19" t="s">
        <v>435</v>
      </c>
      <c r="K72" s="19" t="s">
        <v>226</v>
      </c>
    </row>
    <row r="73" customFormat="false" ht="23.85" hidden="false" customHeight="false" outlineLevel="0" collapsed="false">
      <c r="A73" s="13" t="s">
        <v>397</v>
      </c>
      <c r="B73" s="14" t="s">
        <v>398</v>
      </c>
      <c r="C73" s="14" t="s">
        <v>226</v>
      </c>
      <c r="D73" s="14" t="s">
        <v>227</v>
      </c>
      <c r="E73" s="14" t="s">
        <v>255</v>
      </c>
      <c r="F73" s="8" t="n">
        <v>0</v>
      </c>
      <c r="G73" s="8" t="n">
        <v>5</v>
      </c>
      <c r="H73" s="14" t="s">
        <v>256</v>
      </c>
      <c r="I73" s="14" t="s">
        <v>434</v>
      </c>
      <c r="J73" s="14" t="s">
        <v>435</v>
      </c>
      <c r="K73" s="14" t="s">
        <v>226</v>
      </c>
    </row>
    <row r="74" customFormat="false" ht="15" hidden="false" customHeight="false" outlineLevel="0" collapsed="false">
      <c r="A74" s="18" t="s">
        <v>406</v>
      </c>
      <c r="B74" s="19" t="s">
        <v>407</v>
      </c>
      <c r="C74" s="19" t="s">
        <v>226</v>
      </c>
      <c r="D74" s="19" t="s">
        <v>227</v>
      </c>
      <c r="E74" s="19" t="s">
        <v>255</v>
      </c>
      <c r="F74" s="21" t="n">
        <v>0</v>
      </c>
      <c r="G74" s="21" t="n">
        <v>9</v>
      </c>
      <c r="H74" s="19" t="s">
        <v>256</v>
      </c>
      <c r="I74" s="19" t="s">
        <v>434</v>
      </c>
      <c r="J74" s="19" t="s">
        <v>435</v>
      </c>
      <c r="K74" s="19" t="s">
        <v>226</v>
      </c>
    </row>
    <row r="75" customFormat="false" ht="23.85" hidden="false" customHeight="false" outlineLevel="0" collapsed="false">
      <c r="A75" s="13" t="s">
        <v>438</v>
      </c>
      <c r="B75" s="14" t="s">
        <v>439</v>
      </c>
      <c r="C75" s="14" t="s">
        <v>226</v>
      </c>
      <c r="D75" s="14" t="s">
        <v>227</v>
      </c>
      <c r="E75" s="14" t="s">
        <v>255</v>
      </c>
      <c r="F75" s="8" t="n">
        <v>0</v>
      </c>
      <c r="G75" s="8" t="n">
        <v>12</v>
      </c>
      <c r="H75" s="14" t="s">
        <v>256</v>
      </c>
      <c r="I75" s="14" t="s">
        <v>434</v>
      </c>
      <c r="J75" s="14" t="s">
        <v>435</v>
      </c>
      <c r="K75" s="14" t="s">
        <v>226</v>
      </c>
    </row>
    <row r="76" customFormat="false" ht="23.85" hidden="false" customHeight="false" outlineLevel="0" collapsed="false">
      <c r="A76" s="18" t="s">
        <v>382</v>
      </c>
      <c r="B76" s="19" t="s">
        <v>383</v>
      </c>
      <c r="C76" s="19" t="s">
        <v>229</v>
      </c>
      <c r="D76" s="19" t="s">
        <v>230</v>
      </c>
      <c r="E76" s="19" t="s">
        <v>255</v>
      </c>
      <c r="F76" s="21" t="n">
        <v>0</v>
      </c>
      <c r="G76" s="21" t="n">
        <v>6</v>
      </c>
      <c r="H76" s="19" t="s">
        <v>256</v>
      </c>
      <c r="I76" s="19" t="s">
        <v>434</v>
      </c>
      <c r="J76" s="19" t="s">
        <v>435</v>
      </c>
      <c r="K76" s="19" t="s">
        <v>229</v>
      </c>
    </row>
    <row r="77" customFormat="false" ht="23.85" hidden="false" customHeight="false" outlineLevel="0" collapsed="false">
      <c r="A77" s="13" t="s">
        <v>294</v>
      </c>
      <c r="B77" s="14" t="s">
        <v>295</v>
      </c>
      <c r="C77" s="14" t="s">
        <v>229</v>
      </c>
      <c r="D77" s="14" t="s">
        <v>230</v>
      </c>
      <c r="E77" s="14" t="s">
        <v>255</v>
      </c>
      <c r="F77" s="8" t="n">
        <v>0</v>
      </c>
      <c r="G77" s="8" t="n">
        <v>0</v>
      </c>
      <c r="H77" s="14" t="s">
        <v>256</v>
      </c>
      <c r="I77" s="14" t="s">
        <v>434</v>
      </c>
      <c r="J77" s="14" t="s">
        <v>435</v>
      </c>
      <c r="K77" s="14" t="s">
        <v>229</v>
      </c>
    </row>
    <row r="78" customFormat="false" ht="23.85" hidden="false" customHeight="false" outlineLevel="0" collapsed="false">
      <c r="A78" s="18" t="s">
        <v>298</v>
      </c>
      <c r="B78" s="19" t="s">
        <v>299</v>
      </c>
      <c r="C78" s="19" t="s">
        <v>229</v>
      </c>
      <c r="D78" s="19" t="s">
        <v>230</v>
      </c>
      <c r="E78" s="19" t="s">
        <v>255</v>
      </c>
      <c r="F78" s="21" t="n">
        <v>0</v>
      </c>
      <c r="G78" s="21" t="n">
        <v>0</v>
      </c>
      <c r="H78" s="19" t="s">
        <v>256</v>
      </c>
      <c r="I78" s="19" t="s">
        <v>434</v>
      </c>
      <c r="J78" s="19" t="s">
        <v>435</v>
      </c>
      <c r="K78" s="19" t="s">
        <v>229</v>
      </c>
    </row>
    <row r="79" customFormat="false" ht="23.85" hidden="false" customHeight="false" outlineLevel="0" collapsed="false">
      <c r="A79" s="13" t="s">
        <v>69</v>
      </c>
      <c r="B79" s="14" t="s">
        <v>135</v>
      </c>
      <c r="C79" s="14" t="s">
        <v>232</v>
      </c>
      <c r="D79" s="14" t="s">
        <v>233</v>
      </c>
      <c r="E79" s="14" t="s">
        <v>255</v>
      </c>
      <c r="F79" s="8" t="n">
        <v>0</v>
      </c>
      <c r="G79" s="8" t="n">
        <v>0</v>
      </c>
      <c r="H79" s="14" t="s">
        <v>256</v>
      </c>
      <c r="I79" s="14" t="s">
        <v>434</v>
      </c>
      <c r="J79" s="14" t="s">
        <v>435</v>
      </c>
      <c r="K79" s="14" t="s">
        <v>232</v>
      </c>
    </row>
    <row r="80" customFormat="false" ht="23.85" hidden="false" customHeight="false" outlineLevel="0" collapsed="false">
      <c r="A80" s="18" t="s">
        <v>259</v>
      </c>
      <c r="B80" s="19" t="s">
        <v>260</v>
      </c>
      <c r="C80" s="19" t="s">
        <v>232</v>
      </c>
      <c r="D80" s="19" t="s">
        <v>233</v>
      </c>
      <c r="E80" s="19" t="s">
        <v>255</v>
      </c>
      <c r="F80" s="21" t="n">
        <v>0</v>
      </c>
      <c r="G80" s="21" t="n">
        <v>72</v>
      </c>
      <c r="H80" s="19" t="s">
        <v>256</v>
      </c>
      <c r="I80" s="19" t="s">
        <v>434</v>
      </c>
      <c r="J80" s="19" t="s">
        <v>435</v>
      </c>
      <c r="K80" s="19" t="s">
        <v>232</v>
      </c>
    </row>
    <row r="81" customFormat="false" ht="35.05" hidden="false" customHeight="false" outlineLevel="0" collapsed="false">
      <c r="A81" s="13" t="s">
        <v>262</v>
      </c>
      <c r="B81" s="14" t="s">
        <v>263</v>
      </c>
      <c r="C81" s="14" t="s">
        <v>232</v>
      </c>
      <c r="D81" s="14" t="s">
        <v>233</v>
      </c>
      <c r="E81" s="14" t="s">
        <v>255</v>
      </c>
      <c r="F81" s="8" t="n">
        <v>0</v>
      </c>
      <c r="G81" s="8" t="n">
        <v>70</v>
      </c>
      <c r="H81" s="14" t="s">
        <v>256</v>
      </c>
      <c r="I81" s="14" t="s">
        <v>434</v>
      </c>
      <c r="J81" s="14" t="s">
        <v>435</v>
      </c>
      <c r="K81" s="14" t="s">
        <v>232</v>
      </c>
    </row>
    <row r="82" customFormat="false" ht="23.85" hidden="false" customHeight="false" outlineLevel="0" collapsed="false">
      <c r="A82" s="18" t="s">
        <v>59</v>
      </c>
      <c r="B82" s="19" t="s">
        <v>130</v>
      </c>
      <c r="C82" s="19" t="s">
        <v>232</v>
      </c>
      <c r="D82" s="19" t="s">
        <v>233</v>
      </c>
      <c r="E82" s="19" t="s">
        <v>255</v>
      </c>
      <c r="F82" s="21" t="n">
        <v>0</v>
      </c>
      <c r="G82" s="21" t="n">
        <v>83</v>
      </c>
      <c r="H82" s="19" t="s">
        <v>256</v>
      </c>
      <c r="I82" s="19" t="s">
        <v>434</v>
      </c>
      <c r="J82" s="19" t="s">
        <v>435</v>
      </c>
      <c r="K82" s="19" t="s">
        <v>232</v>
      </c>
    </row>
    <row r="83" customFormat="false" ht="23.85" hidden="false" customHeight="false" outlineLevel="0" collapsed="false">
      <c r="A83" s="13" t="s">
        <v>325</v>
      </c>
      <c r="B83" s="14" t="s">
        <v>326</v>
      </c>
      <c r="C83" s="14" t="s">
        <v>238</v>
      </c>
      <c r="D83" s="14" t="s">
        <v>239</v>
      </c>
      <c r="E83" s="14" t="s">
        <v>255</v>
      </c>
      <c r="F83" s="8" t="n">
        <v>0</v>
      </c>
      <c r="G83" s="8" t="n">
        <v>0</v>
      </c>
      <c r="H83" s="14" t="s">
        <v>256</v>
      </c>
      <c r="I83" s="14" t="s">
        <v>434</v>
      </c>
      <c r="J83" s="14" t="s">
        <v>435</v>
      </c>
      <c r="K83" s="14" t="s">
        <v>238</v>
      </c>
    </row>
    <row r="84" customFormat="false" ht="23.85" hidden="false" customHeight="false" outlineLevel="0" collapsed="false">
      <c r="A84" s="18" t="s">
        <v>155</v>
      </c>
      <c r="B84" s="19" t="s">
        <v>318</v>
      </c>
      <c r="C84" s="19" t="s">
        <v>235</v>
      </c>
      <c r="D84" s="19" t="s">
        <v>236</v>
      </c>
      <c r="E84" s="19" t="s">
        <v>255</v>
      </c>
      <c r="F84" s="21" t="n">
        <v>0</v>
      </c>
      <c r="G84" s="21" t="n">
        <v>0</v>
      </c>
      <c r="H84" s="19" t="s">
        <v>256</v>
      </c>
      <c r="I84" s="19" t="s">
        <v>434</v>
      </c>
      <c r="J84" s="19" t="s">
        <v>435</v>
      </c>
      <c r="K84" s="19" t="s">
        <v>235</v>
      </c>
    </row>
    <row r="85" customFormat="false" ht="15" hidden="false" customHeight="false" outlineLevel="0" collapsed="false">
      <c r="A85" s="13" t="s">
        <v>440</v>
      </c>
      <c r="B85" s="14" t="s">
        <v>441</v>
      </c>
      <c r="C85" s="14" t="s">
        <v>235</v>
      </c>
      <c r="D85" s="14" t="s">
        <v>236</v>
      </c>
      <c r="E85" s="14" t="s">
        <v>255</v>
      </c>
      <c r="F85" s="8" t="n">
        <v>0</v>
      </c>
      <c r="G85" s="8" t="n">
        <v>125</v>
      </c>
      <c r="H85" s="14" t="s">
        <v>256</v>
      </c>
      <c r="I85" s="14" t="s">
        <v>434</v>
      </c>
      <c r="J85" s="14" t="s">
        <v>435</v>
      </c>
      <c r="K85" s="14" t="s">
        <v>235</v>
      </c>
    </row>
    <row r="86" customFormat="false" ht="15" hidden="false" customHeight="false" outlineLevel="0" collapsed="false">
      <c r="A86" s="18" t="s">
        <v>442</v>
      </c>
      <c r="B86" s="19" t="s">
        <v>443</v>
      </c>
      <c r="C86" s="19" t="s">
        <v>235</v>
      </c>
      <c r="D86" s="19" t="s">
        <v>236</v>
      </c>
      <c r="E86" s="19" t="s">
        <v>255</v>
      </c>
      <c r="F86" s="21" t="n">
        <v>0</v>
      </c>
      <c r="G86" s="21" t="n">
        <v>165</v>
      </c>
      <c r="H86" s="19" t="s">
        <v>256</v>
      </c>
      <c r="I86" s="19" t="s">
        <v>434</v>
      </c>
      <c r="J86" s="19" t="s">
        <v>435</v>
      </c>
      <c r="K86" s="19" t="s">
        <v>235</v>
      </c>
    </row>
    <row r="87" customFormat="false" ht="23.85" hidden="false" customHeight="false" outlineLevel="0" collapsed="false">
      <c r="A87" s="13" t="s">
        <v>163</v>
      </c>
      <c r="B87" s="14" t="s">
        <v>167</v>
      </c>
      <c r="C87" s="14" t="s">
        <v>175</v>
      </c>
      <c r="D87" s="14" t="s">
        <v>240</v>
      </c>
      <c r="E87" s="14" t="s">
        <v>255</v>
      </c>
      <c r="F87" s="8" t="n">
        <v>0</v>
      </c>
      <c r="G87" s="8" t="n">
        <v>0</v>
      </c>
      <c r="H87" s="14" t="s">
        <v>256</v>
      </c>
      <c r="I87" s="14" t="s">
        <v>434</v>
      </c>
      <c r="J87" s="14" t="s">
        <v>435</v>
      </c>
      <c r="K87" s="14" t="s">
        <v>175</v>
      </c>
    </row>
    <row r="88" customFormat="false" ht="35.05" hidden="false" customHeight="false" outlineLevel="0" collapsed="false">
      <c r="A88" s="18" t="s">
        <v>172</v>
      </c>
      <c r="B88" s="19" t="s">
        <v>173</v>
      </c>
      <c r="C88" s="19" t="s">
        <v>175</v>
      </c>
      <c r="D88" s="19" t="s">
        <v>240</v>
      </c>
      <c r="E88" s="19" t="s">
        <v>255</v>
      </c>
      <c r="F88" s="21" t="n">
        <v>0</v>
      </c>
      <c r="G88" s="21" t="n">
        <v>0</v>
      </c>
      <c r="H88" s="19" t="s">
        <v>256</v>
      </c>
      <c r="I88" s="19" t="s">
        <v>434</v>
      </c>
      <c r="J88" s="19" t="s">
        <v>435</v>
      </c>
      <c r="K88" s="19" t="s">
        <v>175</v>
      </c>
    </row>
    <row r="89" customFormat="false" ht="23.85" hidden="false" customHeight="false" outlineLevel="0" collapsed="false">
      <c r="A89" s="13" t="s">
        <v>329</v>
      </c>
      <c r="B89" s="14" t="s">
        <v>330</v>
      </c>
      <c r="C89" s="14" t="s">
        <v>175</v>
      </c>
      <c r="D89" s="14" t="s">
        <v>240</v>
      </c>
      <c r="E89" s="14" t="s">
        <v>255</v>
      </c>
      <c r="F89" s="8" t="n">
        <v>0</v>
      </c>
      <c r="G89" s="8" t="n">
        <v>0</v>
      </c>
      <c r="H89" s="14" t="s">
        <v>256</v>
      </c>
      <c r="I89" s="14" t="s">
        <v>434</v>
      </c>
      <c r="J89" s="14" t="s">
        <v>435</v>
      </c>
      <c r="K89" s="14" t="s">
        <v>175</v>
      </c>
    </row>
  </sheetData>
  <autoFilter ref="A2:K89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899"/>
    <pageSetUpPr fitToPage="fals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9"/>
    <col collapsed="false" customWidth="true" hidden="false" outlineLevel="0" max="4" min="4" style="0" width="50"/>
    <col collapsed="false" customWidth="true" hidden="false" outlineLevel="0" max="7" min="5" style="0" width="12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0" min="10" style="0" width="30"/>
    <col collapsed="false" customWidth="true" hidden="false" outlineLevel="0" max="11" min="11" style="0" width="22"/>
    <col collapsed="false" customWidth="true" hidden="false" outlineLevel="0" max="12" min="12" style="0" width="60"/>
  </cols>
  <sheetData>
    <row r="1" customFormat="false" ht="30" hidden="false" customHeight="true" outlineLevel="0" collapsed="false">
      <c r="A1" s="12" t="s">
        <v>444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31.5" hidden="false" customHeight="true" outlineLevel="0" collapsed="false">
      <c r="A2" s="6" t="s">
        <v>445</v>
      </c>
      <c r="B2" s="6" t="s">
        <v>446</v>
      </c>
      <c r="C2" s="6" t="s">
        <v>447</v>
      </c>
      <c r="D2" s="6" t="s">
        <v>448</v>
      </c>
      <c r="E2" s="6" t="s">
        <v>449</v>
      </c>
      <c r="F2" s="6" t="s">
        <v>450</v>
      </c>
      <c r="G2" s="6" t="s">
        <v>451</v>
      </c>
      <c r="H2" s="6" t="s">
        <v>452</v>
      </c>
      <c r="I2" s="6" t="s">
        <v>57</v>
      </c>
      <c r="J2" s="6" t="s">
        <v>453</v>
      </c>
      <c r="K2" s="6" t="s">
        <v>454</v>
      </c>
      <c r="L2" s="6" t="s">
        <v>455</v>
      </c>
    </row>
    <row r="3" customFormat="false" ht="23.85" hidden="false" customHeight="false" outlineLevel="0" collapsed="false">
      <c r="A3" s="13" t="s">
        <v>99</v>
      </c>
      <c r="B3" s="14" t="s">
        <v>99</v>
      </c>
      <c r="C3" s="8" t="n">
        <v>46</v>
      </c>
      <c r="D3" s="14" t="s">
        <v>100</v>
      </c>
      <c r="E3" s="14"/>
      <c r="F3" s="22" t="n">
        <v>45980</v>
      </c>
      <c r="G3" s="22" t="n">
        <v>46339</v>
      </c>
      <c r="H3" s="14" t="s">
        <v>456</v>
      </c>
      <c r="I3" s="14" t="s">
        <v>457</v>
      </c>
      <c r="J3" s="14"/>
      <c r="K3" s="14" t="s">
        <v>458</v>
      </c>
      <c r="L3" s="14" t="s">
        <v>105</v>
      </c>
    </row>
    <row r="4" customFormat="false" ht="23.85" hidden="false" customHeight="false" outlineLevel="0" collapsed="false">
      <c r="A4" s="18" t="s">
        <v>106</v>
      </c>
      <c r="B4" s="19" t="s">
        <v>106</v>
      </c>
      <c r="C4" s="21" t="n">
        <v>62</v>
      </c>
      <c r="D4" s="19" t="s">
        <v>107</v>
      </c>
      <c r="E4" s="19"/>
      <c r="F4" s="23" t="n">
        <v>45999</v>
      </c>
      <c r="G4" s="23" t="n">
        <v>46339</v>
      </c>
      <c r="H4" s="19" t="s">
        <v>459</v>
      </c>
      <c r="I4" s="19" t="s">
        <v>457</v>
      </c>
      <c r="J4" s="19"/>
      <c r="K4" s="19" t="s">
        <v>458</v>
      </c>
      <c r="L4" s="19" t="s">
        <v>105</v>
      </c>
    </row>
    <row r="5" customFormat="false" ht="23.85" hidden="false" customHeight="false" outlineLevel="0" collapsed="false">
      <c r="A5" s="13" t="s">
        <v>108</v>
      </c>
      <c r="B5" s="14" t="s">
        <v>108</v>
      </c>
      <c r="C5" s="8" t="n">
        <v>25</v>
      </c>
      <c r="D5" s="14" t="s">
        <v>109</v>
      </c>
      <c r="E5" s="14"/>
      <c r="F5" s="22" t="n">
        <v>46063</v>
      </c>
      <c r="G5" s="22" t="n">
        <v>46339</v>
      </c>
      <c r="H5" s="14" t="s">
        <v>460</v>
      </c>
      <c r="I5" s="14" t="s">
        <v>457</v>
      </c>
      <c r="J5" s="14"/>
      <c r="K5" s="14" t="s">
        <v>458</v>
      </c>
      <c r="L5" s="14" t="s">
        <v>105</v>
      </c>
    </row>
    <row r="6" customFormat="false" ht="23.85" hidden="false" customHeight="false" outlineLevel="0" collapsed="false">
      <c r="A6" s="18" t="s">
        <v>110</v>
      </c>
      <c r="B6" s="19" t="s">
        <v>110</v>
      </c>
      <c r="C6" s="21" t="n">
        <v>59</v>
      </c>
      <c r="D6" s="19" t="s">
        <v>111</v>
      </c>
      <c r="E6" s="19"/>
      <c r="F6" s="23" t="n">
        <v>46118</v>
      </c>
      <c r="G6" s="23" t="n">
        <v>46339</v>
      </c>
      <c r="H6" s="19" t="s">
        <v>461</v>
      </c>
      <c r="I6" s="19" t="s">
        <v>457</v>
      </c>
      <c r="J6" s="19"/>
      <c r="K6" s="19" t="s">
        <v>458</v>
      </c>
      <c r="L6" s="19" t="s">
        <v>105</v>
      </c>
    </row>
    <row r="7" customFormat="false" ht="23.85" hidden="false" customHeight="false" outlineLevel="0" collapsed="false">
      <c r="A7" s="13" t="s">
        <v>112</v>
      </c>
      <c r="B7" s="14" t="s">
        <v>112</v>
      </c>
      <c r="C7" s="8" t="n">
        <v>60</v>
      </c>
      <c r="D7" s="14" t="s">
        <v>113</v>
      </c>
      <c r="E7" s="14"/>
      <c r="F7" s="22" t="n">
        <v>46118</v>
      </c>
      <c r="G7" s="22" t="n">
        <v>46339</v>
      </c>
      <c r="H7" s="14" t="s">
        <v>461</v>
      </c>
      <c r="I7" s="14" t="s">
        <v>457</v>
      </c>
      <c r="J7" s="14"/>
      <c r="K7" s="14" t="s">
        <v>458</v>
      </c>
      <c r="L7" s="14" t="s">
        <v>105</v>
      </c>
    </row>
    <row r="8" customFormat="false" ht="23.85" hidden="false" customHeight="false" outlineLevel="0" collapsed="false">
      <c r="A8" s="18" t="s">
        <v>87</v>
      </c>
      <c r="B8" s="19" t="s">
        <v>87</v>
      </c>
      <c r="C8" s="21" t="n">
        <v>147</v>
      </c>
      <c r="D8" s="19" t="s">
        <v>88</v>
      </c>
      <c r="E8" s="19"/>
      <c r="F8" s="23" t="n">
        <v>46266</v>
      </c>
      <c r="G8" s="23" t="n">
        <v>46360</v>
      </c>
      <c r="H8" s="19" t="s">
        <v>462</v>
      </c>
      <c r="I8" s="19" t="s">
        <v>457</v>
      </c>
      <c r="J8" s="19"/>
      <c r="K8" s="19" t="s">
        <v>458</v>
      </c>
      <c r="L8" s="19" t="s">
        <v>93</v>
      </c>
    </row>
    <row r="9" customFormat="false" ht="23.85" hidden="false" customHeight="false" outlineLevel="0" collapsed="false">
      <c r="A9" s="13" t="s">
        <v>114</v>
      </c>
      <c r="B9" s="14" t="s">
        <v>114</v>
      </c>
      <c r="C9" s="8" t="n">
        <v>63</v>
      </c>
      <c r="D9" s="14" t="s">
        <v>115</v>
      </c>
      <c r="E9" s="14"/>
      <c r="F9" s="22" t="n">
        <v>46266</v>
      </c>
      <c r="G9" s="22" t="n">
        <v>46339</v>
      </c>
      <c r="H9" s="14" t="s">
        <v>463</v>
      </c>
      <c r="I9" s="14" t="s">
        <v>457</v>
      </c>
      <c r="J9" s="14"/>
      <c r="K9" s="14" t="s">
        <v>458</v>
      </c>
      <c r="L9" s="14" t="s">
        <v>105</v>
      </c>
    </row>
    <row r="10" customFormat="false" ht="23.85" hidden="false" customHeight="false" outlineLevel="0" collapsed="false">
      <c r="A10" s="18" t="s">
        <v>189</v>
      </c>
      <c r="B10" s="19" t="s">
        <v>189</v>
      </c>
      <c r="C10" s="21" t="n">
        <v>48</v>
      </c>
      <c r="D10" s="19" t="s">
        <v>190</v>
      </c>
      <c r="E10" s="19"/>
      <c r="F10" s="23" t="n">
        <v>46328</v>
      </c>
      <c r="G10" s="23" t="n">
        <v>46419</v>
      </c>
      <c r="H10" s="19" t="s">
        <v>464</v>
      </c>
      <c r="I10" s="19" t="s">
        <v>457</v>
      </c>
      <c r="J10" s="19"/>
      <c r="K10" s="19" t="s">
        <v>458</v>
      </c>
      <c r="L10" s="19" t="s">
        <v>183</v>
      </c>
    </row>
    <row r="11" customFormat="false" ht="23.85" hidden="false" customHeight="false" outlineLevel="0" collapsed="false">
      <c r="A11" s="13" t="s">
        <v>191</v>
      </c>
      <c r="B11" s="14" t="s">
        <v>191</v>
      </c>
      <c r="C11" s="8" t="n">
        <v>51</v>
      </c>
      <c r="D11" s="14" t="s">
        <v>192</v>
      </c>
      <c r="E11" s="14"/>
      <c r="F11" s="22" t="n">
        <v>46328</v>
      </c>
      <c r="G11" s="22" t="n">
        <v>46402</v>
      </c>
      <c r="H11" s="14" t="s">
        <v>465</v>
      </c>
      <c r="I11" s="14" t="s">
        <v>457</v>
      </c>
      <c r="J11" s="14"/>
      <c r="K11" s="14" t="s">
        <v>458</v>
      </c>
      <c r="L11" s="14" t="s">
        <v>183</v>
      </c>
    </row>
    <row r="12" customFormat="false" ht="23.85" hidden="false" customHeight="false" outlineLevel="0" collapsed="false">
      <c r="A12" s="18" t="s">
        <v>193</v>
      </c>
      <c r="B12" s="19" t="s">
        <v>193</v>
      </c>
      <c r="C12" s="21" t="n">
        <v>130</v>
      </c>
      <c r="D12" s="19" t="s">
        <v>194</v>
      </c>
      <c r="E12" s="19"/>
      <c r="F12" s="23" t="n">
        <v>46328</v>
      </c>
      <c r="G12" s="23" t="n">
        <v>46402</v>
      </c>
      <c r="H12" s="19" t="s">
        <v>465</v>
      </c>
      <c r="I12" s="19" t="s">
        <v>457</v>
      </c>
      <c r="J12" s="19"/>
      <c r="K12" s="19" t="s">
        <v>458</v>
      </c>
      <c r="L12" s="19" t="s">
        <v>183</v>
      </c>
    </row>
    <row r="13" customFormat="false" ht="23.85" hidden="false" customHeight="false" outlineLevel="0" collapsed="false">
      <c r="A13" s="13" t="s">
        <v>205</v>
      </c>
      <c r="B13" s="14" t="s">
        <v>205</v>
      </c>
      <c r="C13" s="8" t="n">
        <v>250</v>
      </c>
      <c r="D13" s="14" t="s">
        <v>206</v>
      </c>
      <c r="E13" s="14"/>
      <c r="F13" s="22" t="n">
        <v>46328</v>
      </c>
      <c r="G13" s="22" t="n">
        <v>46435</v>
      </c>
      <c r="H13" s="14" t="s">
        <v>466</v>
      </c>
      <c r="I13" s="14" t="s">
        <v>457</v>
      </c>
      <c r="J13" s="14"/>
      <c r="K13" s="14" t="s">
        <v>458</v>
      </c>
      <c r="L13" s="14" t="s">
        <v>183</v>
      </c>
    </row>
    <row r="14" customFormat="false" ht="23.85" hidden="false" customHeight="false" outlineLevel="0" collapsed="false">
      <c r="A14" s="18" t="s">
        <v>207</v>
      </c>
      <c r="B14" s="19" t="s">
        <v>207</v>
      </c>
      <c r="C14" s="21" t="n">
        <v>251</v>
      </c>
      <c r="D14" s="19" t="s">
        <v>208</v>
      </c>
      <c r="E14" s="19"/>
      <c r="F14" s="23" t="n">
        <v>46328</v>
      </c>
      <c r="G14" s="23" t="n">
        <v>46447</v>
      </c>
      <c r="H14" s="19" t="s">
        <v>467</v>
      </c>
      <c r="I14" s="19" t="s">
        <v>457</v>
      </c>
      <c r="J14" s="19"/>
      <c r="K14" s="19" t="s">
        <v>458</v>
      </c>
      <c r="L14" s="19" t="s">
        <v>183</v>
      </c>
    </row>
    <row r="15" customFormat="false" ht="23.85" hidden="false" customHeight="false" outlineLevel="0" collapsed="false">
      <c r="A15" s="13" t="s">
        <v>178</v>
      </c>
      <c r="B15" s="14" t="s">
        <v>178</v>
      </c>
      <c r="C15" s="8" t="n">
        <v>81</v>
      </c>
      <c r="D15" s="14" t="s">
        <v>179</v>
      </c>
      <c r="E15" s="14"/>
      <c r="F15" s="22" t="n">
        <v>46328</v>
      </c>
      <c r="G15" s="22" t="n">
        <v>46414</v>
      </c>
      <c r="H15" s="14" t="s">
        <v>468</v>
      </c>
      <c r="I15" s="14" t="s">
        <v>457</v>
      </c>
      <c r="J15" s="14"/>
      <c r="K15" s="14" t="s">
        <v>458</v>
      </c>
      <c r="L15" s="14" t="s">
        <v>183</v>
      </c>
    </row>
    <row r="16" customFormat="false" ht="23.85" hidden="false" customHeight="false" outlineLevel="0" collapsed="false">
      <c r="A16" s="18"/>
      <c r="B16" s="19" t="s">
        <v>71</v>
      </c>
      <c r="C16" s="21" t="n">
        <v>390</v>
      </c>
      <c r="D16" s="19" t="s">
        <v>73</v>
      </c>
      <c r="E16" s="21" t="n">
        <v>15</v>
      </c>
      <c r="F16" s="23" t="n">
        <v>46356</v>
      </c>
      <c r="G16" s="23" t="n">
        <v>46356</v>
      </c>
      <c r="H16" s="19" t="s">
        <v>469</v>
      </c>
      <c r="I16" s="19" t="s">
        <v>256</v>
      </c>
      <c r="J16" s="19" t="s">
        <v>74</v>
      </c>
      <c r="K16" s="19" t="s">
        <v>458</v>
      </c>
      <c r="L16" s="19" t="s">
        <v>78</v>
      </c>
    </row>
    <row r="17" customFormat="false" ht="23.85" hidden="false" customHeight="false" outlineLevel="0" collapsed="false">
      <c r="A17" s="13" t="s">
        <v>90</v>
      </c>
      <c r="B17" s="14" t="s">
        <v>90</v>
      </c>
      <c r="C17" s="8" t="n">
        <v>149</v>
      </c>
      <c r="D17" s="14" t="s">
        <v>94</v>
      </c>
      <c r="E17" s="14"/>
      <c r="F17" s="22" t="n">
        <v>46363</v>
      </c>
      <c r="G17" s="22" t="n">
        <v>46423</v>
      </c>
      <c r="H17" s="14" t="s">
        <v>470</v>
      </c>
      <c r="I17" s="14" t="s">
        <v>457</v>
      </c>
      <c r="J17" s="14" t="s">
        <v>96</v>
      </c>
      <c r="K17" s="14" t="s">
        <v>458</v>
      </c>
      <c r="L17" s="14" t="s">
        <v>98</v>
      </c>
    </row>
    <row r="18" customFormat="false" ht="35.05" hidden="false" customHeight="false" outlineLevel="0" collapsed="false">
      <c r="A18" s="18"/>
      <c r="B18" s="19" t="s">
        <v>102</v>
      </c>
      <c r="C18" s="21" t="n">
        <v>388</v>
      </c>
      <c r="D18" s="19" t="s">
        <v>116</v>
      </c>
      <c r="E18" s="21" t="n">
        <v>15</v>
      </c>
      <c r="F18" s="23" t="n">
        <v>46402</v>
      </c>
      <c r="G18" s="23" t="n">
        <v>46402</v>
      </c>
      <c r="H18" s="19" t="s">
        <v>469</v>
      </c>
      <c r="I18" s="19" t="s">
        <v>256</v>
      </c>
      <c r="J18" s="19" t="s">
        <v>117</v>
      </c>
      <c r="K18" s="19" t="s">
        <v>458</v>
      </c>
      <c r="L18" s="19" t="s">
        <v>119</v>
      </c>
    </row>
    <row r="19" customFormat="false" ht="23.85" hidden="false" customHeight="false" outlineLevel="0" collapsed="false">
      <c r="A19" s="13"/>
      <c r="B19" s="14" t="s">
        <v>120</v>
      </c>
      <c r="C19" s="8" t="n">
        <v>389</v>
      </c>
      <c r="D19" s="14" t="s">
        <v>121</v>
      </c>
      <c r="E19" s="8" t="n">
        <v>135</v>
      </c>
      <c r="F19" s="22" t="n">
        <v>46402</v>
      </c>
      <c r="G19" s="22" t="n">
        <v>46402</v>
      </c>
      <c r="H19" s="14" t="s">
        <v>469</v>
      </c>
      <c r="I19" s="14" t="s">
        <v>256</v>
      </c>
      <c r="J19" s="14" t="s">
        <v>122</v>
      </c>
      <c r="K19" s="14" t="s">
        <v>458</v>
      </c>
      <c r="L19" s="14" t="s">
        <v>123</v>
      </c>
    </row>
    <row r="20" customFormat="false" ht="23.85" hidden="false" customHeight="false" outlineLevel="0" collapsed="false">
      <c r="A20" s="18"/>
      <c r="B20" s="19" t="s">
        <v>79</v>
      </c>
      <c r="C20" s="21" t="n">
        <v>391</v>
      </c>
      <c r="D20" s="19" t="s">
        <v>81</v>
      </c>
      <c r="E20" s="21" t="n">
        <v>164</v>
      </c>
      <c r="F20" s="23" t="n">
        <v>46402</v>
      </c>
      <c r="G20" s="23" t="n">
        <v>46402</v>
      </c>
      <c r="H20" s="19" t="s">
        <v>469</v>
      </c>
      <c r="I20" s="19" t="s">
        <v>256</v>
      </c>
      <c r="J20" s="19" t="s">
        <v>82</v>
      </c>
      <c r="K20" s="19" t="s">
        <v>458</v>
      </c>
      <c r="L20" s="19" t="s">
        <v>86</v>
      </c>
    </row>
    <row r="21" customFormat="false" ht="23.85" hidden="false" customHeight="false" outlineLevel="0" collapsed="false">
      <c r="A21" s="13"/>
      <c r="B21" s="14" t="s">
        <v>140</v>
      </c>
      <c r="C21" s="8" t="n">
        <v>392</v>
      </c>
      <c r="D21" s="14" t="s">
        <v>141</v>
      </c>
      <c r="E21" s="8" t="n">
        <v>158</v>
      </c>
      <c r="F21" s="22" t="n">
        <v>46402</v>
      </c>
      <c r="G21" s="22" t="n">
        <v>46402</v>
      </c>
      <c r="H21" s="14" t="s">
        <v>469</v>
      </c>
      <c r="I21" s="14" t="s">
        <v>256</v>
      </c>
      <c r="J21" s="14" t="s">
        <v>142</v>
      </c>
      <c r="K21" s="14" t="s">
        <v>458</v>
      </c>
      <c r="L21" s="14" t="s">
        <v>144</v>
      </c>
    </row>
    <row r="22" customFormat="false" ht="23.85" hidden="false" customHeight="false" outlineLevel="0" collapsed="false">
      <c r="A22" s="18"/>
      <c r="B22" s="19" t="s">
        <v>219</v>
      </c>
      <c r="C22" s="21" t="n">
        <v>395</v>
      </c>
      <c r="D22" s="19" t="s">
        <v>221</v>
      </c>
      <c r="E22" s="21" t="n">
        <v>2</v>
      </c>
      <c r="F22" s="23" t="n">
        <v>46402</v>
      </c>
      <c r="G22" s="23" t="n">
        <v>46402</v>
      </c>
      <c r="H22" s="19" t="s">
        <v>469</v>
      </c>
      <c r="I22" s="19" t="s">
        <v>256</v>
      </c>
      <c r="J22" s="19" t="s">
        <v>222</v>
      </c>
      <c r="K22" s="19" t="s">
        <v>458</v>
      </c>
      <c r="L22" s="19" t="s">
        <v>225</v>
      </c>
    </row>
    <row r="23" customFormat="false" ht="35.05" hidden="false" customHeight="false" outlineLevel="0" collapsed="false">
      <c r="A23" s="13"/>
      <c r="B23" s="14" t="s">
        <v>124</v>
      </c>
      <c r="C23" s="8" t="n">
        <v>377</v>
      </c>
      <c r="D23" s="14" t="s">
        <v>125</v>
      </c>
      <c r="E23" s="8" t="n">
        <v>180</v>
      </c>
      <c r="F23" s="22" t="n">
        <v>46419</v>
      </c>
      <c r="G23" s="22" t="n">
        <v>46479</v>
      </c>
      <c r="H23" s="14" t="s">
        <v>470</v>
      </c>
      <c r="I23" s="14" t="s">
        <v>457</v>
      </c>
      <c r="J23" s="14"/>
      <c r="K23" s="14" t="s">
        <v>458</v>
      </c>
      <c r="L23" s="14" t="s">
        <v>129</v>
      </c>
    </row>
    <row r="24" customFormat="false" ht="23.85" hidden="false" customHeight="false" outlineLevel="0" collapsed="false">
      <c r="A24" s="18"/>
      <c r="B24" s="19" t="s">
        <v>226</v>
      </c>
      <c r="C24" s="21" t="n">
        <v>396</v>
      </c>
      <c r="D24" s="19" t="s">
        <v>227</v>
      </c>
      <c r="E24" s="21" t="n">
        <v>2</v>
      </c>
      <c r="F24" s="23" t="n">
        <v>46423</v>
      </c>
      <c r="G24" s="23" t="n">
        <v>46423</v>
      </c>
      <c r="H24" s="19" t="s">
        <v>469</v>
      </c>
      <c r="I24" s="19" t="s">
        <v>256</v>
      </c>
      <c r="J24" s="19" t="s">
        <v>228</v>
      </c>
      <c r="K24" s="19" t="s">
        <v>458</v>
      </c>
      <c r="L24" s="19" t="s">
        <v>225</v>
      </c>
    </row>
    <row r="25" customFormat="false" ht="35.05" hidden="false" customHeight="false" outlineLevel="0" collapsed="false">
      <c r="A25" s="13"/>
      <c r="B25" s="14" t="s">
        <v>145</v>
      </c>
      <c r="C25" s="8" t="n">
        <v>376</v>
      </c>
      <c r="D25" s="14" t="s">
        <v>146</v>
      </c>
      <c r="E25" s="8" t="n">
        <v>158</v>
      </c>
      <c r="F25" s="22" t="n">
        <v>46510</v>
      </c>
      <c r="G25" s="22" t="n">
        <v>46540</v>
      </c>
      <c r="H25" s="14" t="s">
        <v>471</v>
      </c>
      <c r="I25" s="14" t="s">
        <v>457</v>
      </c>
      <c r="J25" s="14" t="s">
        <v>147</v>
      </c>
      <c r="K25" s="14" t="s">
        <v>458</v>
      </c>
      <c r="L25" s="14" t="s">
        <v>150</v>
      </c>
    </row>
    <row r="26" customFormat="false" ht="23.85" hidden="false" customHeight="false" outlineLevel="0" collapsed="false">
      <c r="A26" s="18"/>
      <c r="B26" s="19" t="s">
        <v>229</v>
      </c>
      <c r="C26" s="21" t="n">
        <v>397</v>
      </c>
      <c r="D26" s="19" t="s">
        <v>230</v>
      </c>
      <c r="E26" s="21" t="n">
        <v>2</v>
      </c>
      <c r="F26" s="23" t="n">
        <v>46538</v>
      </c>
      <c r="G26" s="23" t="n">
        <v>46538</v>
      </c>
      <c r="H26" s="19" t="s">
        <v>469</v>
      </c>
      <c r="I26" s="19" t="s">
        <v>256</v>
      </c>
      <c r="J26" s="19" t="s">
        <v>231</v>
      </c>
      <c r="K26" s="19" t="s">
        <v>458</v>
      </c>
      <c r="L26" s="19" t="s">
        <v>225</v>
      </c>
    </row>
    <row r="27" customFormat="false" ht="23.85" hidden="false" customHeight="false" outlineLevel="0" collapsed="false">
      <c r="A27" s="13"/>
      <c r="B27" s="14" t="s">
        <v>54</v>
      </c>
      <c r="C27" s="8" t="n">
        <v>386</v>
      </c>
      <c r="D27" s="14" t="s">
        <v>56</v>
      </c>
      <c r="E27" s="8" t="n">
        <v>194</v>
      </c>
      <c r="F27" s="22" t="n">
        <v>46567</v>
      </c>
      <c r="G27" s="22" t="n">
        <v>46567</v>
      </c>
      <c r="H27" s="14" t="s">
        <v>469</v>
      </c>
      <c r="I27" s="14" t="s">
        <v>256</v>
      </c>
      <c r="J27" s="14" t="s">
        <v>58</v>
      </c>
      <c r="K27" s="14" t="s">
        <v>458</v>
      </c>
      <c r="L27" s="14" t="s">
        <v>65</v>
      </c>
    </row>
    <row r="28" customFormat="false" ht="23.85" hidden="false" customHeight="false" outlineLevel="0" collapsed="false">
      <c r="A28" s="18" t="s">
        <v>59</v>
      </c>
      <c r="B28" s="19" t="s">
        <v>59</v>
      </c>
      <c r="C28" s="21" t="n">
        <v>181</v>
      </c>
      <c r="D28" s="19" t="s">
        <v>130</v>
      </c>
      <c r="E28" s="19"/>
      <c r="F28" s="23" t="n">
        <v>46568</v>
      </c>
      <c r="G28" s="23" t="n">
        <v>46630</v>
      </c>
      <c r="H28" s="19" t="s">
        <v>470</v>
      </c>
      <c r="I28" s="19" t="s">
        <v>457</v>
      </c>
      <c r="J28" s="19" t="s">
        <v>132</v>
      </c>
      <c r="K28" s="19" t="s">
        <v>458</v>
      </c>
      <c r="L28" s="19" t="s">
        <v>134</v>
      </c>
    </row>
    <row r="29" customFormat="false" ht="23.85" hidden="false" customHeight="false" outlineLevel="0" collapsed="false">
      <c r="A29" s="13"/>
      <c r="B29" s="14" t="s">
        <v>195</v>
      </c>
      <c r="C29" s="8" t="n">
        <v>382</v>
      </c>
      <c r="D29" s="14" t="s">
        <v>196</v>
      </c>
      <c r="E29" s="8" t="n">
        <v>143</v>
      </c>
      <c r="F29" s="22" t="n">
        <v>46569</v>
      </c>
      <c r="G29" s="22" t="n">
        <v>46610</v>
      </c>
      <c r="H29" s="14" t="s">
        <v>472</v>
      </c>
      <c r="I29" s="14" t="s">
        <v>457</v>
      </c>
      <c r="J29" s="14" t="s">
        <v>197</v>
      </c>
      <c r="K29" s="14" t="s">
        <v>458</v>
      </c>
      <c r="L29" s="14" t="s">
        <v>199</v>
      </c>
    </row>
    <row r="30" customFormat="false" ht="23.85" hidden="false" customHeight="false" outlineLevel="0" collapsed="false">
      <c r="A30" s="18"/>
      <c r="B30" s="19" t="s">
        <v>184</v>
      </c>
      <c r="C30" s="21" t="n">
        <v>393</v>
      </c>
      <c r="D30" s="19" t="s">
        <v>185</v>
      </c>
      <c r="E30" s="21" t="n">
        <v>180</v>
      </c>
      <c r="F30" s="23" t="n">
        <v>46610</v>
      </c>
      <c r="G30" s="23" t="n">
        <v>46610</v>
      </c>
      <c r="H30" s="19" t="s">
        <v>469</v>
      </c>
      <c r="I30" s="19" t="s">
        <v>256</v>
      </c>
      <c r="J30" s="19" t="s">
        <v>186</v>
      </c>
      <c r="K30" s="19" t="s">
        <v>458</v>
      </c>
      <c r="L30" s="19" t="s">
        <v>188</v>
      </c>
    </row>
    <row r="31" customFormat="false" ht="23.85" hidden="false" customHeight="false" outlineLevel="0" collapsed="false">
      <c r="A31" s="13" t="s">
        <v>200</v>
      </c>
      <c r="B31" s="14" t="s">
        <v>200</v>
      </c>
      <c r="C31" s="8" t="n">
        <v>186</v>
      </c>
      <c r="D31" s="14" t="s">
        <v>201</v>
      </c>
      <c r="E31" s="14"/>
      <c r="F31" s="22" t="n">
        <v>46654</v>
      </c>
      <c r="G31" s="22" t="n">
        <v>46716</v>
      </c>
      <c r="H31" s="14" t="s">
        <v>470</v>
      </c>
      <c r="I31" s="14" t="s">
        <v>457</v>
      </c>
      <c r="J31" s="14" t="s">
        <v>202</v>
      </c>
      <c r="K31" s="14" t="s">
        <v>458</v>
      </c>
      <c r="L31" s="14" t="s">
        <v>204</v>
      </c>
    </row>
    <row r="32" customFormat="false" ht="23.85" hidden="false" customHeight="false" outlineLevel="0" collapsed="false">
      <c r="A32" s="18"/>
      <c r="B32" s="19" t="s">
        <v>66</v>
      </c>
      <c r="C32" s="21" t="n">
        <v>387</v>
      </c>
      <c r="D32" s="19" t="s">
        <v>67</v>
      </c>
      <c r="E32" s="21" t="n">
        <v>194</v>
      </c>
      <c r="F32" s="23" t="n">
        <v>46689</v>
      </c>
      <c r="G32" s="23" t="n">
        <v>46689</v>
      </c>
      <c r="H32" s="19" t="s">
        <v>469</v>
      </c>
      <c r="I32" s="19" t="s">
        <v>256</v>
      </c>
      <c r="J32" s="19" t="s">
        <v>68</v>
      </c>
      <c r="K32" s="19" t="s">
        <v>458</v>
      </c>
      <c r="L32" s="19" t="s">
        <v>70</v>
      </c>
    </row>
    <row r="33" customFormat="false" ht="23.85" hidden="false" customHeight="false" outlineLevel="0" collapsed="false">
      <c r="A33" s="13"/>
      <c r="B33" s="14" t="s">
        <v>69</v>
      </c>
      <c r="C33" s="8" t="n">
        <v>378</v>
      </c>
      <c r="D33" s="14" t="s">
        <v>135</v>
      </c>
      <c r="E33" s="8" t="n">
        <v>180</v>
      </c>
      <c r="F33" s="22" t="n">
        <v>46692</v>
      </c>
      <c r="G33" s="22" t="n">
        <v>46745</v>
      </c>
      <c r="H33" s="14" t="s">
        <v>473</v>
      </c>
      <c r="I33" s="14" t="s">
        <v>457</v>
      </c>
      <c r="J33" s="14" t="s">
        <v>136</v>
      </c>
      <c r="K33" s="14" t="s">
        <v>458</v>
      </c>
      <c r="L33" s="14" t="s">
        <v>139</v>
      </c>
    </row>
    <row r="34" customFormat="false" ht="23.85" hidden="false" customHeight="false" outlineLevel="0" collapsed="false">
      <c r="A34" s="18"/>
      <c r="B34" s="19" t="s">
        <v>232</v>
      </c>
      <c r="C34" s="21" t="n">
        <v>398</v>
      </c>
      <c r="D34" s="19" t="s">
        <v>233</v>
      </c>
      <c r="E34" s="21" t="n">
        <v>2</v>
      </c>
      <c r="F34" s="23" t="n">
        <v>46745</v>
      </c>
      <c r="G34" s="23" t="n">
        <v>46745</v>
      </c>
      <c r="H34" s="19" t="s">
        <v>469</v>
      </c>
      <c r="I34" s="19" t="s">
        <v>256</v>
      </c>
      <c r="J34" s="19" t="s">
        <v>234</v>
      </c>
      <c r="K34" s="19" t="s">
        <v>458</v>
      </c>
      <c r="L34" s="19" t="s">
        <v>225</v>
      </c>
    </row>
    <row r="35" customFormat="false" ht="35.05" hidden="false" customHeight="false" outlineLevel="0" collapsed="false">
      <c r="A35" s="13"/>
      <c r="B35" s="14" t="s">
        <v>151</v>
      </c>
      <c r="C35" s="8" t="n">
        <v>379</v>
      </c>
      <c r="D35" s="14" t="s">
        <v>153</v>
      </c>
      <c r="E35" s="8" t="n">
        <v>353</v>
      </c>
      <c r="F35" s="22" t="n">
        <v>46748</v>
      </c>
      <c r="G35" s="22" t="n">
        <v>46801</v>
      </c>
      <c r="H35" s="14" t="s">
        <v>473</v>
      </c>
      <c r="I35" s="14" t="s">
        <v>457</v>
      </c>
      <c r="J35" s="14" t="s">
        <v>154</v>
      </c>
      <c r="K35" s="14" t="s">
        <v>458</v>
      </c>
      <c r="L35" s="14" t="s">
        <v>159</v>
      </c>
    </row>
    <row r="36" customFormat="false" ht="23.85" hidden="false" customHeight="false" outlineLevel="0" collapsed="false">
      <c r="A36" s="18" t="s">
        <v>209</v>
      </c>
      <c r="B36" s="19" t="s">
        <v>209</v>
      </c>
      <c r="C36" s="21" t="n">
        <v>163</v>
      </c>
      <c r="D36" s="19" t="s">
        <v>210</v>
      </c>
      <c r="E36" s="19"/>
      <c r="F36" s="23" t="n">
        <v>46874</v>
      </c>
      <c r="G36" s="23" t="n">
        <v>46904</v>
      </c>
      <c r="H36" s="19" t="s">
        <v>471</v>
      </c>
      <c r="I36" s="19" t="s">
        <v>457</v>
      </c>
      <c r="J36" s="19" t="s">
        <v>212</v>
      </c>
      <c r="K36" s="19" t="s">
        <v>458</v>
      </c>
      <c r="L36" s="19" t="s">
        <v>213</v>
      </c>
    </row>
    <row r="37" customFormat="false" ht="23.85" hidden="false" customHeight="false" outlineLevel="0" collapsed="false">
      <c r="A37" s="13"/>
      <c r="B37" s="14" t="s">
        <v>235</v>
      </c>
      <c r="C37" s="8" t="n">
        <v>400</v>
      </c>
      <c r="D37" s="14" t="s">
        <v>236</v>
      </c>
      <c r="E37" s="8" t="n">
        <v>2</v>
      </c>
      <c r="F37" s="22" t="n">
        <v>47012</v>
      </c>
      <c r="G37" s="22" t="n">
        <v>47012</v>
      </c>
      <c r="H37" s="14" t="s">
        <v>469</v>
      </c>
      <c r="I37" s="14" t="s">
        <v>256</v>
      </c>
      <c r="J37" s="14" t="s">
        <v>237</v>
      </c>
      <c r="K37" s="14" t="s">
        <v>458</v>
      </c>
      <c r="L37" s="14" t="s">
        <v>225</v>
      </c>
    </row>
    <row r="38" customFormat="false" ht="23.85" hidden="false" customHeight="false" outlineLevel="0" collapsed="false">
      <c r="A38" s="18"/>
      <c r="B38" s="19" t="s">
        <v>238</v>
      </c>
      <c r="C38" s="21" t="n">
        <v>399</v>
      </c>
      <c r="D38" s="19" t="s">
        <v>239</v>
      </c>
      <c r="E38" s="21" t="n">
        <v>2</v>
      </c>
      <c r="F38" s="23" t="n">
        <v>47018</v>
      </c>
      <c r="G38" s="23" t="n">
        <v>47018</v>
      </c>
      <c r="H38" s="19" t="s">
        <v>469</v>
      </c>
      <c r="I38" s="19" t="s">
        <v>256</v>
      </c>
      <c r="J38" s="19" t="s">
        <v>162</v>
      </c>
      <c r="K38" s="19" t="s">
        <v>458</v>
      </c>
      <c r="L38" s="19" t="s">
        <v>225</v>
      </c>
    </row>
    <row r="39" customFormat="false" ht="23.85" hidden="false" customHeight="false" outlineLevel="0" collapsed="false">
      <c r="A39" s="13"/>
      <c r="B39" s="14" t="s">
        <v>214</v>
      </c>
      <c r="C39" s="8" t="n">
        <v>384</v>
      </c>
      <c r="D39" s="14" t="s">
        <v>215</v>
      </c>
      <c r="E39" s="8" t="n">
        <v>15</v>
      </c>
      <c r="F39" s="22" t="n">
        <v>47028</v>
      </c>
      <c r="G39" s="22" t="n">
        <v>47053</v>
      </c>
      <c r="H39" s="14" t="s">
        <v>474</v>
      </c>
      <c r="I39" s="14" t="s">
        <v>457</v>
      </c>
      <c r="J39" s="14"/>
      <c r="K39" s="14" t="s">
        <v>458</v>
      </c>
      <c r="L39" s="14" t="s">
        <v>218</v>
      </c>
    </row>
    <row r="40" customFormat="false" ht="23.85" hidden="false" customHeight="false" outlineLevel="0" collapsed="false">
      <c r="A40" s="18"/>
      <c r="B40" s="19" t="s">
        <v>160</v>
      </c>
      <c r="C40" s="21" t="n">
        <v>380</v>
      </c>
      <c r="D40" s="19" t="s">
        <v>161</v>
      </c>
      <c r="E40" s="21" t="n">
        <v>342</v>
      </c>
      <c r="F40" s="23" t="n">
        <v>47210</v>
      </c>
      <c r="G40" s="23" t="n">
        <v>47270</v>
      </c>
      <c r="H40" s="19" t="s">
        <v>470</v>
      </c>
      <c r="I40" s="19" t="s">
        <v>457</v>
      </c>
      <c r="J40" s="19" t="s">
        <v>162</v>
      </c>
      <c r="K40" s="19" t="s">
        <v>458</v>
      </c>
      <c r="L40" s="19" t="s">
        <v>166</v>
      </c>
    </row>
    <row r="41" customFormat="false" ht="23.85" hidden="false" customHeight="false" outlineLevel="0" collapsed="false">
      <c r="A41" s="13"/>
      <c r="B41" s="14" t="s">
        <v>163</v>
      </c>
      <c r="C41" s="8" t="n">
        <v>381</v>
      </c>
      <c r="D41" s="14" t="s">
        <v>167</v>
      </c>
      <c r="E41" s="8" t="n">
        <v>342</v>
      </c>
      <c r="F41" s="22" t="n">
        <v>47392</v>
      </c>
      <c r="G41" s="22" t="n">
        <v>47480</v>
      </c>
      <c r="H41" s="14" t="s">
        <v>462</v>
      </c>
      <c r="I41" s="14" t="s">
        <v>457</v>
      </c>
      <c r="J41" s="14" t="s">
        <v>168</v>
      </c>
      <c r="K41" s="14" t="s">
        <v>458</v>
      </c>
      <c r="L41" s="14" t="s">
        <v>171</v>
      </c>
    </row>
    <row r="42" customFormat="false" ht="23.85" hidden="false" customHeight="false" outlineLevel="0" collapsed="false">
      <c r="A42" s="18"/>
      <c r="B42" s="19" t="s">
        <v>172</v>
      </c>
      <c r="C42" s="21" t="n">
        <v>383</v>
      </c>
      <c r="D42" s="19" t="s">
        <v>173</v>
      </c>
      <c r="E42" s="21" t="n">
        <v>348</v>
      </c>
      <c r="F42" s="23" t="n">
        <v>47392</v>
      </c>
      <c r="G42" s="23" t="n">
        <v>47480</v>
      </c>
      <c r="H42" s="19" t="s">
        <v>462</v>
      </c>
      <c r="I42" s="19" t="s">
        <v>457</v>
      </c>
      <c r="J42" s="19" t="s">
        <v>174</v>
      </c>
      <c r="K42" s="19" t="s">
        <v>458</v>
      </c>
      <c r="L42" s="19" t="s">
        <v>177</v>
      </c>
    </row>
    <row r="43" customFormat="false" ht="23.85" hidden="false" customHeight="false" outlineLevel="0" collapsed="false">
      <c r="A43" s="13"/>
      <c r="B43" s="14" t="s">
        <v>175</v>
      </c>
      <c r="C43" s="8" t="n">
        <v>401</v>
      </c>
      <c r="D43" s="14" t="s">
        <v>240</v>
      </c>
      <c r="E43" s="8" t="n">
        <v>2</v>
      </c>
      <c r="F43" s="22" t="n">
        <v>47480</v>
      </c>
      <c r="G43" s="22" t="n">
        <v>47480</v>
      </c>
      <c r="H43" s="14" t="s">
        <v>469</v>
      </c>
      <c r="I43" s="14" t="s">
        <v>256</v>
      </c>
      <c r="J43" s="14" t="s">
        <v>241</v>
      </c>
      <c r="K43" s="14" t="s">
        <v>458</v>
      </c>
      <c r="L43" s="14" t="s">
        <v>225</v>
      </c>
    </row>
  </sheetData>
  <autoFilter ref="A2:L43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899"/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34"/>
  </cols>
  <sheetData>
    <row r="1" customFormat="false" ht="30" hidden="false" customHeight="true" outlineLevel="0" collapsed="false">
      <c r="A1" s="12" t="s">
        <v>475</v>
      </c>
      <c r="B1" s="12"/>
      <c r="C1" s="12"/>
      <c r="D1" s="12"/>
      <c r="E1" s="12"/>
      <c r="F1" s="12"/>
      <c r="G1" s="12"/>
    </row>
    <row r="2" customFormat="false" ht="31.5" hidden="false" customHeight="true" outlineLevel="0" collapsed="false">
      <c r="A2" s="6" t="s">
        <v>476</v>
      </c>
      <c r="B2" s="6" t="s">
        <v>477</v>
      </c>
      <c r="C2" s="6" t="s">
        <v>478</v>
      </c>
      <c r="D2" s="6" t="s">
        <v>479</v>
      </c>
      <c r="E2" s="6" t="s">
        <v>480</v>
      </c>
      <c r="F2" s="6" t="s">
        <v>481</v>
      </c>
      <c r="G2" s="6" t="s">
        <v>482</v>
      </c>
    </row>
    <row r="3" customFormat="false" ht="23.85" hidden="false" customHeight="false" outlineLevel="0" collapsed="false">
      <c r="A3" s="13" t="s">
        <v>258</v>
      </c>
      <c r="B3" s="14" t="s">
        <v>483</v>
      </c>
      <c r="C3" s="14" t="s">
        <v>484</v>
      </c>
      <c r="D3" s="14" t="s">
        <v>485</v>
      </c>
      <c r="E3" s="14" t="s">
        <v>486</v>
      </c>
      <c r="F3" s="14" t="s">
        <v>487</v>
      </c>
      <c r="G3" s="14" t="s">
        <v>488</v>
      </c>
    </row>
    <row r="4" customFormat="false" ht="23.85" hidden="false" customHeight="false" outlineLevel="0" collapsed="false">
      <c r="A4" s="18" t="s">
        <v>282</v>
      </c>
      <c r="B4" s="19" t="s">
        <v>489</v>
      </c>
      <c r="C4" s="19" t="s">
        <v>256</v>
      </c>
      <c r="D4" s="19" t="s">
        <v>485</v>
      </c>
      <c r="E4" s="19" t="s">
        <v>490</v>
      </c>
      <c r="F4" s="19" t="s">
        <v>491</v>
      </c>
      <c r="G4" s="19"/>
    </row>
    <row r="5" customFormat="false" ht="23.85" hidden="false" customHeight="false" outlineLevel="0" collapsed="false">
      <c r="A5" s="13" t="s">
        <v>304</v>
      </c>
      <c r="B5" s="14" t="s">
        <v>492</v>
      </c>
      <c r="C5" s="14" t="s">
        <v>256</v>
      </c>
      <c r="D5" s="14" t="s">
        <v>485</v>
      </c>
      <c r="E5" s="14" t="s">
        <v>493</v>
      </c>
      <c r="F5" s="14" t="s">
        <v>491</v>
      </c>
      <c r="G5" s="14"/>
    </row>
    <row r="6" customFormat="false" ht="23.85" hidden="false" customHeight="false" outlineLevel="0" collapsed="false">
      <c r="A6" s="18" t="s">
        <v>317</v>
      </c>
      <c r="B6" s="19" t="s">
        <v>494</v>
      </c>
      <c r="C6" s="19" t="s">
        <v>495</v>
      </c>
      <c r="D6" s="19" t="s">
        <v>496</v>
      </c>
      <c r="E6" s="19" t="s">
        <v>497</v>
      </c>
      <c r="F6" s="19" t="s">
        <v>487</v>
      </c>
      <c r="G6" s="19" t="s">
        <v>498</v>
      </c>
    </row>
    <row r="7" customFormat="false" ht="23.85" hidden="false" customHeight="false" outlineLevel="0" collapsed="false">
      <c r="A7" s="13" t="s">
        <v>499</v>
      </c>
      <c r="B7" s="14" t="s">
        <v>500</v>
      </c>
      <c r="C7" s="14" t="s">
        <v>495</v>
      </c>
      <c r="D7" s="14" t="s">
        <v>496</v>
      </c>
      <c r="E7" s="14" t="s">
        <v>497</v>
      </c>
      <c r="F7" s="14" t="s">
        <v>487</v>
      </c>
      <c r="G7" s="14"/>
    </row>
    <row r="8" customFormat="false" ht="15" hidden="false" customHeight="false" outlineLevel="0" collapsed="false">
      <c r="A8" s="18" t="s">
        <v>328</v>
      </c>
      <c r="B8" s="19" t="s">
        <v>501</v>
      </c>
      <c r="C8" s="19" t="s">
        <v>256</v>
      </c>
      <c r="D8" s="19" t="s">
        <v>485</v>
      </c>
      <c r="E8" s="19" t="s">
        <v>502</v>
      </c>
      <c r="F8" s="19" t="s">
        <v>491</v>
      </c>
      <c r="G8" s="19"/>
    </row>
    <row r="9" customFormat="false" ht="23.85" hidden="false" customHeight="false" outlineLevel="0" collapsed="false">
      <c r="A9" s="13" t="s">
        <v>349</v>
      </c>
      <c r="B9" s="14" t="s">
        <v>503</v>
      </c>
      <c r="C9" s="14" t="s">
        <v>504</v>
      </c>
      <c r="D9" s="14" t="s">
        <v>505</v>
      </c>
      <c r="E9" s="14" t="s">
        <v>506</v>
      </c>
      <c r="F9" s="14" t="s">
        <v>487</v>
      </c>
      <c r="G9" s="14" t="s">
        <v>507</v>
      </c>
    </row>
    <row r="10" customFormat="false" ht="23.85" hidden="false" customHeight="false" outlineLevel="0" collapsed="false">
      <c r="A10" s="18" t="s">
        <v>380</v>
      </c>
      <c r="B10" s="19" t="s">
        <v>508</v>
      </c>
      <c r="C10" s="19" t="s">
        <v>509</v>
      </c>
      <c r="D10" s="19" t="s">
        <v>510</v>
      </c>
      <c r="E10" s="19" t="s">
        <v>511</v>
      </c>
      <c r="F10" s="19" t="s">
        <v>487</v>
      </c>
      <c r="G10" s="19" t="s">
        <v>512</v>
      </c>
    </row>
    <row r="11" customFormat="false" ht="23.85" hidden="false" customHeight="false" outlineLevel="0" collapsed="false">
      <c r="A11" s="13" t="s">
        <v>513</v>
      </c>
      <c r="B11" s="14" t="s">
        <v>514</v>
      </c>
      <c r="C11" s="14" t="s">
        <v>515</v>
      </c>
      <c r="D11" s="14" t="s">
        <v>510</v>
      </c>
      <c r="E11" s="14" t="s">
        <v>516</v>
      </c>
      <c r="F11" s="14" t="s">
        <v>487</v>
      </c>
      <c r="G11" s="14"/>
    </row>
    <row r="12" customFormat="false" ht="23.85" hidden="false" customHeight="false" outlineLevel="0" collapsed="false">
      <c r="A12" s="18" t="s">
        <v>355</v>
      </c>
      <c r="B12" s="19" t="s">
        <v>517</v>
      </c>
      <c r="C12" s="19" t="s">
        <v>518</v>
      </c>
      <c r="D12" s="19" t="s">
        <v>510</v>
      </c>
      <c r="E12" s="19" t="s">
        <v>519</v>
      </c>
      <c r="F12" s="19" t="s">
        <v>487</v>
      </c>
      <c r="G12" s="19"/>
    </row>
    <row r="13" customFormat="false" ht="15" hidden="false" customHeight="false" outlineLevel="0" collapsed="false">
      <c r="A13" s="13" t="s">
        <v>337</v>
      </c>
      <c r="B13" s="14" t="s">
        <v>520</v>
      </c>
      <c r="C13" s="14" t="s">
        <v>256</v>
      </c>
      <c r="D13" s="14" t="s">
        <v>485</v>
      </c>
      <c r="E13" s="14" t="s">
        <v>521</v>
      </c>
      <c r="F13" s="14" t="s">
        <v>491</v>
      </c>
      <c r="G13" s="14" t="s">
        <v>522</v>
      </c>
    </row>
    <row r="14" customFormat="false" ht="23.85" hidden="false" customHeight="false" outlineLevel="0" collapsed="false">
      <c r="A14" s="18" t="s">
        <v>311</v>
      </c>
      <c r="B14" s="19" t="s">
        <v>523</v>
      </c>
      <c r="C14" s="19" t="s">
        <v>256</v>
      </c>
      <c r="D14" s="19" t="s">
        <v>485</v>
      </c>
      <c r="E14" s="19" t="s">
        <v>524</v>
      </c>
      <c r="F14" s="19" t="s">
        <v>491</v>
      </c>
      <c r="G14" s="19"/>
    </row>
    <row r="15" customFormat="false" ht="23.85" hidden="false" customHeight="false" outlineLevel="0" collapsed="false">
      <c r="A15" s="13" t="s">
        <v>324</v>
      </c>
      <c r="B15" s="14" t="s">
        <v>525</v>
      </c>
      <c r="C15" s="14" t="s">
        <v>509</v>
      </c>
      <c r="D15" s="14" t="s">
        <v>526</v>
      </c>
      <c r="E15" s="14" t="s">
        <v>527</v>
      </c>
      <c r="F15" s="14" t="s">
        <v>491</v>
      </c>
      <c r="G15" s="14"/>
    </row>
    <row r="16" customFormat="false" ht="23.85" hidden="false" customHeight="false" outlineLevel="0" collapsed="false">
      <c r="A16" s="18" t="s">
        <v>339</v>
      </c>
      <c r="B16" s="19" t="s">
        <v>528</v>
      </c>
      <c r="C16" s="19" t="s">
        <v>518</v>
      </c>
      <c r="D16" s="19" t="s">
        <v>485</v>
      </c>
      <c r="E16" s="19" t="s">
        <v>529</v>
      </c>
      <c r="F16" s="19" t="s">
        <v>487</v>
      </c>
      <c r="G16" s="19" t="s">
        <v>530</v>
      </c>
    </row>
    <row r="17" customFormat="false" ht="23.85" hidden="false" customHeight="false" outlineLevel="0" collapsed="false">
      <c r="A17" s="13" t="s">
        <v>424</v>
      </c>
      <c r="B17" s="14" t="s">
        <v>531</v>
      </c>
      <c r="C17" s="14" t="s">
        <v>509</v>
      </c>
      <c r="D17" s="14" t="s">
        <v>526</v>
      </c>
      <c r="E17" s="14" t="s">
        <v>527</v>
      </c>
      <c r="F17" s="14" t="s">
        <v>491</v>
      </c>
      <c r="G17" s="14"/>
    </row>
    <row r="18" customFormat="false" ht="15" hidden="false" customHeight="false" outlineLevel="0" collapsed="false">
      <c r="A18" s="18" t="s">
        <v>405</v>
      </c>
      <c r="B18" s="19" t="s">
        <v>532</v>
      </c>
      <c r="C18" s="19" t="s">
        <v>256</v>
      </c>
      <c r="D18" s="19" t="s">
        <v>526</v>
      </c>
      <c r="E18" s="19" t="s">
        <v>533</v>
      </c>
      <c r="F18" s="19" t="s">
        <v>491</v>
      </c>
      <c r="G18" s="19"/>
    </row>
    <row r="19" customFormat="false" ht="23.85" hidden="false" customHeight="false" outlineLevel="0" collapsed="false">
      <c r="A19" s="13" t="s">
        <v>395</v>
      </c>
      <c r="B19" s="14" t="s">
        <v>534</v>
      </c>
      <c r="C19" s="14" t="s">
        <v>509</v>
      </c>
      <c r="D19" s="14" t="s">
        <v>510</v>
      </c>
      <c r="E19" s="14" t="s">
        <v>535</v>
      </c>
      <c r="F19" s="14" t="s">
        <v>491</v>
      </c>
      <c r="G19" s="14"/>
    </row>
    <row r="20" customFormat="false" ht="23.85" hidden="false" customHeight="false" outlineLevel="0" collapsed="false">
      <c r="A20" s="18" t="s">
        <v>400</v>
      </c>
      <c r="B20" s="19" t="s">
        <v>536</v>
      </c>
      <c r="C20" s="19" t="s">
        <v>509</v>
      </c>
      <c r="D20" s="19" t="s">
        <v>510</v>
      </c>
      <c r="E20" s="19" t="s">
        <v>537</v>
      </c>
      <c r="F20" s="19" t="s">
        <v>491</v>
      </c>
      <c r="G20" s="19"/>
    </row>
    <row r="21" customFormat="false" ht="23.85" hidden="false" customHeight="false" outlineLevel="0" collapsed="false">
      <c r="A21" s="13" t="s">
        <v>414</v>
      </c>
      <c r="B21" s="14" t="s">
        <v>538</v>
      </c>
      <c r="C21" s="14" t="s">
        <v>256</v>
      </c>
      <c r="D21" s="14" t="s">
        <v>526</v>
      </c>
      <c r="E21" s="14" t="s">
        <v>539</v>
      </c>
      <c r="F21" s="14" t="s">
        <v>487</v>
      </c>
      <c r="G21" s="14" t="s">
        <v>540</v>
      </c>
    </row>
    <row r="22" customFormat="false" ht="15" hidden="false" customHeight="false" outlineLevel="0" collapsed="false">
      <c r="A22" s="18" t="s">
        <v>297</v>
      </c>
      <c r="B22" s="19" t="s">
        <v>541</v>
      </c>
      <c r="C22" s="19" t="s">
        <v>256</v>
      </c>
      <c r="D22" s="19" t="s">
        <v>542</v>
      </c>
      <c r="E22" s="19" t="s">
        <v>543</v>
      </c>
      <c r="F22" s="19" t="s">
        <v>491</v>
      </c>
      <c r="G22" s="19" t="s">
        <v>544</v>
      </c>
    </row>
    <row r="23" customFormat="false" ht="15" hidden="false" customHeight="false" outlineLevel="0" collapsed="false">
      <c r="A23" s="13" t="s">
        <v>387</v>
      </c>
      <c r="B23" s="14" t="s">
        <v>545</v>
      </c>
      <c r="C23" s="14" t="s">
        <v>256</v>
      </c>
      <c r="D23" s="14" t="s">
        <v>542</v>
      </c>
      <c r="E23" s="14" t="s">
        <v>543</v>
      </c>
      <c r="F23" s="14" t="s">
        <v>491</v>
      </c>
      <c r="G23" s="14"/>
    </row>
    <row r="24" customFormat="false" ht="15" hidden="false" customHeight="false" outlineLevel="0" collapsed="false">
      <c r="A24" s="18" t="s">
        <v>429</v>
      </c>
      <c r="B24" s="19" t="s">
        <v>546</v>
      </c>
      <c r="C24" s="19" t="s">
        <v>256</v>
      </c>
      <c r="D24" s="19" t="s">
        <v>547</v>
      </c>
      <c r="E24" s="19" t="s">
        <v>548</v>
      </c>
      <c r="F24" s="19" t="s">
        <v>491</v>
      </c>
      <c r="G24" s="19"/>
    </row>
    <row r="25" customFormat="false" ht="15" hidden="false" customHeight="false" outlineLevel="0" collapsed="false">
      <c r="A25" s="13" t="s">
        <v>549</v>
      </c>
      <c r="B25" s="14" t="s">
        <v>550</v>
      </c>
      <c r="C25" s="14" t="s">
        <v>256</v>
      </c>
      <c r="D25" s="14" t="s">
        <v>551</v>
      </c>
      <c r="E25" s="14" t="s">
        <v>552</v>
      </c>
      <c r="F25" s="14" t="s">
        <v>553</v>
      </c>
      <c r="G25" s="14" t="s">
        <v>554</v>
      </c>
    </row>
    <row r="26" customFormat="false" ht="15" hidden="false" customHeight="false" outlineLevel="0" collapsed="false">
      <c r="A26" s="18" t="s">
        <v>555</v>
      </c>
      <c r="B26" s="19" t="s">
        <v>556</v>
      </c>
      <c r="C26" s="19" t="s">
        <v>256</v>
      </c>
      <c r="D26" s="19" t="s">
        <v>551</v>
      </c>
      <c r="E26" s="19" t="s">
        <v>557</v>
      </c>
      <c r="F26" s="19" t="s">
        <v>553</v>
      </c>
      <c r="G26" s="19" t="s">
        <v>554</v>
      </c>
    </row>
    <row r="29" customFormat="false" ht="15" hidden="false" customHeight="false" outlineLevel="0" collapsed="false">
      <c r="A29" s="24" t="s">
        <v>558</v>
      </c>
    </row>
    <row r="30" customFormat="false" ht="15" hidden="false" customHeight="false" outlineLevel="0" collapsed="false">
      <c r="A30" s="25" t="s">
        <v>559</v>
      </c>
      <c r="B30" s="25" t="s">
        <v>560</v>
      </c>
      <c r="C30" s="25" t="s">
        <v>561</v>
      </c>
      <c r="D30" s="25" t="s">
        <v>562</v>
      </c>
    </row>
    <row r="31" customFormat="false" ht="35.05" hidden="false" customHeight="false" outlineLevel="0" collapsed="false">
      <c r="A31" s="13" t="s">
        <v>563</v>
      </c>
      <c r="B31" s="14" t="s">
        <v>564</v>
      </c>
      <c r="C31" s="14" t="s">
        <v>565</v>
      </c>
      <c r="D31" s="14" t="s">
        <v>566</v>
      </c>
    </row>
    <row r="32" customFormat="false" ht="57.45" hidden="false" customHeight="false" outlineLevel="0" collapsed="false">
      <c r="A32" s="13" t="s">
        <v>567</v>
      </c>
      <c r="B32" s="14" t="s">
        <v>568</v>
      </c>
      <c r="C32" s="14" t="s">
        <v>565</v>
      </c>
      <c r="D32" s="14" t="s">
        <v>569</v>
      </c>
    </row>
    <row r="33" customFormat="false" ht="35.05" hidden="false" customHeight="false" outlineLevel="0" collapsed="false">
      <c r="A33" s="13" t="s">
        <v>570</v>
      </c>
      <c r="B33" s="14" t="s">
        <v>571</v>
      </c>
      <c r="C33" s="14" t="s">
        <v>572</v>
      </c>
      <c r="D33" s="14" t="s">
        <v>573</v>
      </c>
    </row>
    <row r="34" customFormat="false" ht="35.05" hidden="false" customHeight="false" outlineLevel="0" collapsed="false">
      <c r="A34" s="13" t="s">
        <v>574</v>
      </c>
      <c r="B34" s="14" t="s">
        <v>575</v>
      </c>
      <c r="C34" s="14" t="s">
        <v>572</v>
      </c>
      <c r="D34" s="14" t="s">
        <v>576</v>
      </c>
    </row>
    <row r="35" customFormat="false" ht="35.05" hidden="false" customHeight="false" outlineLevel="0" collapsed="false">
      <c r="A35" s="13" t="s">
        <v>577</v>
      </c>
      <c r="B35" s="14" t="s">
        <v>578</v>
      </c>
      <c r="C35" s="14" t="s">
        <v>565</v>
      </c>
      <c r="D35" s="14" t="s">
        <v>579</v>
      </c>
    </row>
    <row r="36" customFormat="false" ht="35.05" hidden="false" customHeight="false" outlineLevel="0" collapsed="false">
      <c r="A36" s="13" t="s">
        <v>580</v>
      </c>
      <c r="B36" s="14" t="s">
        <v>581</v>
      </c>
      <c r="C36" s="14" t="s">
        <v>565</v>
      </c>
      <c r="D36" s="14" t="s">
        <v>582</v>
      </c>
    </row>
    <row r="37" customFormat="false" ht="35.05" hidden="false" customHeight="false" outlineLevel="0" collapsed="false">
      <c r="A37" s="13" t="s">
        <v>583</v>
      </c>
      <c r="B37" s="14" t="s">
        <v>584</v>
      </c>
      <c r="C37" s="14" t="s">
        <v>565</v>
      </c>
      <c r="D37" s="14" t="s">
        <v>585</v>
      </c>
    </row>
    <row r="38" customFormat="false" ht="46.25" hidden="false" customHeight="false" outlineLevel="0" collapsed="false">
      <c r="A38" s="13" t="s">
        <v>586</v>
      </c>
      <c r="B38" s="14" t="s">
        <v>587</v>
      </c>
      <c r="C38" s="14" t="s">
        <v>491</v>
      </c>
      <c r="D38" s="14" t="s">
        <v>588</v>
      </c>
    </row>
    <row r="39" customFormat="false" ht="35.05" hidden="false" customHeight="false" outlineLevel="0" collapsed="false">
      <c r="A39" s="13" t="s">
        <v>589</v>
      </c>
      <c r="B39" s="14" t="s">
        <v>590</v>
      </c>
      <c r="C39" s="14" t="s">
        <v>565</v>
      </c>
      <c r="D39" s="14" t="s">
        <v>591</v>
      </c>
    </row>
    <row r="40" customFormat="false" ht="15" hidden="false" customHeight="false" outlineLevel="0" collapsed="false">
      <c r="A40" s="13" t="s">
        <v>592</v>
      </c>
      <c r="B40" s="14" t="s">
        <v>593</v>
      </c>
      <c r="C40" s="14" t="s">
        <v>491</v>
      </c>
      <c r="D40" s="14" t="s">
        <v>594</v>
      </c>
    </row>
    <row r="41" customFormat="false" ht="35.05" hidden="false" customHeight="false" outlineLevel="0" collapsed="false">
      <c r="A41" s="13" t="s">
        <v>595</v>
      </c>
      <c r="B41" s="14" t="s">
        <v>596</v>
      </c>
      <c r="C41" s="14" t="s">
        <v>572</v>
      </c>
      <c r="D41" s="14" t="s">
        <v>597</v>
      </c>
    </row>
    <row r="42" customFormat="false" ht="23.85" hidden="false" customHeight="false" outlineLevel="0" collapsed="false">
      <c r="A42" s="13" t="s">
        <v>598</v>
      </c>
      <c r="B42" s="14" t="s">
        <v>599</v>
      </c>
      <c r="C42" s="14" t="s">
        <v>491</v>
      </c>
      <c r="D42" s="14" t="s">
        <v>600</v>
      </c>
    </row>
    <row r="44" customFormat="false" ht="15" hidden="false" customHeight="false" outlineLevel="0" collapsed="false">
      <c r="A44" s="24" t="s">
        <v>601</v>
      </c>
    </row>
    <row r="45" customFormat="false" ht="15" hidden="false" customHeight="false" outlineLevel="0" collapsed="false">
      <c r="A45" s="25" t="s">
        <v>602</v>
      </c>
      <c r="B45" s="25" t="s">
        <v>603</v>
      </c>
      <c r="C45" s="25" t="s">
        <v>481</v>
      </c>
    </row>
    <row r="46" customFormat="false" ht="46.25" hidden="false" customHeight="false" outlineLevel="0" collapsed="false">
      <c r="A46" s="13" t="s">
        <v>604</v>
      </c>
      <c r="B46" s="14" t="s">
        <v>605</v>
      </c>
      <c r="C46" s="14" t="s">
        <v>606</v>
      </c>
    </row>
    <row r="47" customFormat="false" ht="35.05" hidden="false" customHeight="false" outlineLevel="0" collapsed="false">
      <c r="A47" s="13" t="s">
        <v>607</v>
      </c>
      <c r="B47" s="14" t="s">
        <v>608</v>
      </c>
      <c r="C47" s="14" t="s">
        <v>609</v>
      </c>
    </row>
    <row r="48" customFormat="false" ht="46.25" hidden="false" customHeight="false" outlineLevel="0" collapsed="false">
      <c r="A48" s="13" t="s">
        <v>610</v>
      </c>
      <c r="B48" s="14" t="s">
        <v>611</v>
      </c>
      <c r="C48" s="14" t="s">
        <v>612</v>
      </c>
    </row>
    <row r="49" customFormat="false" ht="91" hidden="false" customHeight="false" outlineLevel="0" collapsed="false">
      <c r="A49" s="13" t="s">
        <v>613</v>
      </c>
      <c r="B49" s="14" t="s">
        <v>614</v>
      </c>
      <c r="C49" s="14" t="s">
        <v>615</v>
      </c>
    </row>
    <row r="50" customFormat="false" ht="79.85" hidden="false" customHeight="false" outlineLevel="0" collapsed="false">
      <c r="A50" s="13" t="s">
        <v>616</v>
      </c>
      <c r="B50" s="14" t="s">
        <v>617</v>
      </c>
      <c r="C50" s="14" t="s">
        <v>618</v>
      </c>
    </row>
    <row r="51" customFormat="false" ht="113.4" hidden="false" customHeight="false" outlineLevel="0" collapsed="false">
      <c r="A51" s="13" t="s">
        <v>619</v>
      </c>
      <c r="B51" s="14" t="s">
        <v>620</v>
      </c>
      <c r="C51" s="14" t="s">
        <v>621</v>
      </c>
    </row>
    <row r="52" customFormat="false" ht="79.85" hidden="false" customHeight="false" outlineLevel="0" collapsed="false">
      <c r="A52" s="13" t="s">
        <v>622</v>
      </c>
      <c r="B52" s="14" t="s">
        <v>623</v>
      </c>
      <c r="C52" s="14" t="s">
        <v>624</v>
      </c>
    </row>
    <row r="53" customFormat="false" ht="79.85" hidden="false" customHeight="false" outlineLevel="0" collapsed="false">
      <c r="A53" s="13" t="s">
        <v>625</v>
      </c>
      <c r="B53" s="14" t="s">
        <v>626</v>
      </c>
      <c r="C53" s="14" t="s">
        <v>627</v>
      </c>
    </row>
    <row r="54" customFormat="false" ht="79.85" hidden="false" customHeight="false" outlineLevel="0" collapsed="false">
      <c r="A54" s="13" t="s">
        <v>628</v>
      </c>
      <c r="B54" s="14" t="s">
        <v>629</v>
      </c>
      <c r="C54" s="14" t="s">
        <v>630</v>
      </c>
    </row>
  </sheetData>
  <autoFilter ref="A2:G26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899"/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44"/>
    <col collapsed="false" customWidth="true" hidden="false" outlineLevel="0" max="12" min="4" style="0" width="13"/>
    <col collapsed="false" customWidth="true" hidden="false" outlineLevel="0" max="13" min="13" style="0" width="46"/>
  </cols>
  <sheetData>
    <row r="1" customFormat="false" ht="30" hidden="false" customHeight="true" outlineLevel="0" collapsed="false">
      <c r="A1" s="12" t="s">
        <v>631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customFormat="false" ht="31.5" hidden="false" customHeight="true" outlineLevel="0" collapsed="false">
      <c r="A2" s="6" t="s">
        <v>48</v>
      </c>
      <c r="B2" s="6" t="s">
        <v>632</v>
      </c>
      <c r="C2" s="6" t="s">
        <v>477</v>
      </c>
      <c r="D2" s="6" t="s">
        <v>633</v>
      </c>
      <c r="E2" s="6" t="s">
        <v>634</v>
      </c>
      <c r="F2" s="6" t="s">
        <v>635</v>
      </c>
      <c r="G2" s="6" t="s">
        <v>636</v>
      </c>
      <c r="H2" s="6" t="s">
        <v>637</v>
      </c>
      <c r="I2" s="6" t="s">
        <v>638</v>
      </c>
      <c r="J2" s="6" t="s">
        <v>639</v>
      </c>
      <c r="K2" s="6" t="s">
        <v>640</v>
      </c>
      <c r="L2" s="6" t="s">
        <v>641</v>
      </c>
      <c r="M2" s="6" t="s">
        <v>642</v>
      </c>
    </row>
    <row r="3" customFormat="false" ht="15" hidden="false" customHeight="false" outlineLevel="0" collapsed="false">
      <c r="A3" s="13" t="s">
        <v>643</v>
      </c>
      <c r="B3" s="14" t="s">
        <v>644</v>
      </c>
      <c r="C3" s="14" t="s">
        <v>645</v>
      </c>
      <c r="D3" s="14" t="s">
        <v>61</v>
      </c>
      <c r="E3" s="14" t="s">
        <v>646</v>
      </c>
      <c r="F3" s="14" t="s">
        <v>647</v>
      </c>
      <c r="G3" s="14" t="s">
        <v>646</v>
      </c>
      <c r="H3" s="14" t="s">
        <v>157</v>
      </c>
      <c r="I3" s="14" t="s">
        <v>648</v>
      </c>
      <c r="J3" s="14" t="s">
        <v>217</v>
      </c>
      <c r="K3" s="14" t="s">
        <v>649</v>
      </c>
      <c r="L3" s="14"/>
      <c r="M3" s="14"/>
    </row>
    <row r="4" customFormat="false" ht="23.85" hidden="false" customHeight="false" outlineLevel="0" collapsed="false">
      <c r="A4" s="18" t="s">
        <v>643</v>
      </c>
      <c r="B4" s="19" t="s">
        <v>650</v>
      </c>
      <c r="C4" s="19" t="s">
        <v>651</v>
      </c>
      <c r="D4" s="19" t="s">
        <v>61</v>
      </c>
      <c r="E4" s="19" t="s">
        <v>646</v>
      </c>
      <c r="F4" s="19" t="s">
        <v>652</v>
      </c>
      <c r="G4" s="19" t="s">
        <v>653</v>
      </c>
      <c r="H4" s="19" t="s">
        <v>217</v>
      </c>
      <c r="I4" s="19" t="s">
        <v>654</v>
      </c>
      <c r="J4" s="19" t="s">
        <v>61</v>
      </c>
      <c r="K4" s="19" t="s">
        <v>655</v>
      </c>
      <c r="L4" s="19" t="s">
        <v>656</v>
      </c>
      <c r="M4" s="19" t="s">
        <v>657</v>
      </c>
    </row>
    <row r="5" customFormat="false" ht="23.85" hidden="false" customHeight="false" outlineLevel="0" collapsed="false">
      <c r="A5" s="13" t="s">
        <v>643</v>
      </c>
      <c r="B5" s="14" t="s">
        <v>658</v>
      </c>
      <c r="C5" s="14" t="s">
        <v>659</v>
      </c>
      <c r="D5" s="14" t="s">
        <v>157</v>
      </c>
      <c r="E5" s="14" t="s">
        <v>660</v>
      </c>
      <c r="F5" s="14" t="s">
        <v>661</v>
      </c>
      <c r="G5" s="14" t="s">
        <v>646</v>
      </c>
      <c r="H5" s="14" t="s">
        <v>217</v>
      </c>
      <c r="I5" s="14" t="s">
        <v>662</v>
      </c>
      <c r="J5" s="14" t="s">
        <v>157</v>
      </c>
      <c r="K5" s="14" t="s">
        <v>663</v>
      </c>
      <c r="L5" s="14"/>
      <c r="M5" s="14"/>
    </row>
    <row r="6" customFormat="false" ht="35.05" hidden="false" customHeight="false" outlineLevel="0" collapsed="false">
      <c r="A6" s="18" t="s">
        <v>664</v>
      </c>
      <c r="B6" s="19" t="s">
        <v>644</v>
      </c>
      <c r="C6" s="19" t="s">
        <v>665</v>
      </c>
      <c r="D6" s="19" t="s">
        <v>61</v>
      </c>
      <c r="E6" s="19" t="s">
        <v>653</v>
      </c>
      <c r="F6" s="19" t="s">
        <v>61</v>
      </c>
      <c r="G6" s="19" t="s">
        <v>646</v>
      </c>
      <c r="H6" s="19" t="s">
        <v>61</v>
      </c>
      <c r="I6" s="19" t="s">
        <v>648</v>
      </c>
      <c r="J6" s="19" t="s">
        <v>666</v>
      </c>
      <c r="K6" s="19" t="s">
        <v>649</v>
      </c>
      <c r="L6" s="19"/>
      <c r="M6" s="19"/>
    </row>
    <row r="7" customFormat="false" ht="35.05" hidden="false" customHeight="false" outlineLevel="0" collapsed="false">
      <c r="A7" s="13" t="s">
        <v>664</v>
      </c>
      <c r="B7" s="14" t="s">
        <v>650</v>
      </c>
      <c r="C7" s="14" t="s">
        <v>667</v>
      </c>
      <c r="D7" s="14" t="s">
        <v>61</v>
      </c>
      <c r="E7" s="14" t="s">
        <v>646</v>
      </c>
      <c r="F7" s="14" t="s">
        <v>668</v>
      </c>
      <c r="G7" s="14" t="s">
        <v>646</v>
      </c>
      <c r="H7" s="14" t="s">
        <v>157</v>
      </c>
      <c r="I7" s="14" t="s">
        <v>669</v>
      </c>
      <c r="J7" s="14" t="s">
        <v>61</v>
      </c>
      <c r="K7" s="14" t="s">
        <v>655</v>
      </c>
      <c r="L7" s="14" t="s">
        <v>656</v>
      </c>
      <c r="M7" s="14" t="s">
        <v>670</v>
      </c>
    </row>
    <row r="8" customFormat="false" ht="23.85" hidden="false" customHeight="false" outlineLevel="0" collapsed="false">
      <c r="A8" s="18" t="s">
        <v>664</v>
      </c>
      <c r="B8" s="19" t="s">
        <v>658</v>
      </c>
      <c r="C8" s="19" t="s">
        <v>671</v>
      </c>
      <c r="D8" s="19" t="s">
        <v>157</v>
      </c>
      <c r="E8" s="19" t="s">
        <v>660</v>
      </c>
      <c r="F8" s="19" t="s">
        <v>672</v>
      </c>
      <c r="G8" s="19" t="s">
        <v>646</v>
      </c>
      <c r="H8" s="19" t="s">
        <v>217</v>
      </c>
      <c r="I8" s="19" t="s">
        <v>654</v>
      </c>
      <c r="J8" s="19" t="s">
        <v>157</v>
      </c>
      <c r="K8" s="19" t="s">
        <v>663</v>
      </c>
      <c r="L8" s="19"/>
      <c r="M8" s="19"/>
    </row>
    <row r="9" customFormat="false" ht="23.85" hidden="false" customHeight="false" outlineLevel="0" collapsed="false">
      <c r="A9" s="13" t="s">
        <v>673</v>
      </c>
      <c r="B9" s="14" t="s">
        <v>644</v>
      </c>
      <c r="C9" s="14" t="s">
        <v>674</v>
      </c>
      <c r="D9" s="14" t="s">
        <v>675</v>
      </c>
      <c r="E9" s="14" t="s">
        <v>646</v>
      </c>
      <c r="F9" s="14" t="s">
        <v>676</v>
      </c>
      <c r="G9" s="14" t="s">
        <v>653</v>
      </c>
      <c r="H9" s="14" t="s">
        <v>217</v>
      </c>
      <c r="I9" s="14" t="s">
        <v>654</v>
      </c>
      <c r="J9" s="14" t="s">
        <v>61</v>
      </c>
      <c r="K9" s="14" t="s">
        <v>649</v>
      </c>
      <c r="L9" s="14" t="s">
        <v>656</v>
      </c>
      <c r="M9" s="14" t="s">
        <v>677</v>
      </c>
    </row>
    <row r="10" customFormat="false" ht="23.85" hidden="false" customHeight="false" outlineLevel="0" collapsed="false">
      <c r="A10" s="18" t="s">
        <v>673</v>
      </c>
      <c r="B10" s="19" t="s">
        <v>650</v>
      </c>
      <c r="C10" s="19" t="s">
        <v>678</v>
      </c>
      <c r="D10" s="19" t="s">
        <v>61</v>
      </c>
      <c r="E10" s="19" t="s">
        <v>679</v>
      </c>
      <c r="F10" s="19" t="s">
        <v>680</v>
      </c>
      <c r="G10" s="19" t="s">
        <v>646</v>
      </c>
      <c r="H10" s="19" t="s">
        <v>157</v>
      </c>
      <c r="I10" s="19" t="s">
        <v>669</v>
      </c>
      <c r="J10" s="19" t="s">
        <v>157</v>
      </c>
      <c r="K10" s="19" t="s">
        <v>681</v>
      </c>
      <c r="L10" s="19"/>
      <c r="M10" s="19"/>
    </row>
    <row r="11" customFormat="false" ht="23.85" hidden="false" customHeight="false" outlineLevel="0" collapsed="false">
      <c r="A11" s="13" t="s">
        <v>682</v>
      </c>
      <c r="B11" s="14" t="s">
        <v>644</v>
      </c>
      <c r="C11" s="14" t="s">
        <v>683</v>
      </c>
      <c r="D11" s="14" t="s">
        <v>61</v>
      </c>
      <c r="E11" s="14" t="s">
        <v>646</v>
      </c>
      <c r="F11" s="14" t="s">
        <v>157</v>
      </c>
      <c r="G11" s="14" t="s">
        <v>646</v>
      </c>
      <c r="H11" s="14" t="s">
        <v>157</v>
      </c>
      <c r="I11" s="14" t="s">
        <v>648</v>
      </c>
      <c r="J11" s="14" t="s">
        <v>217</v>
      </c>
      <c r="K11" s="14" t="s">
        <v>649</v>
      </c>
      <c r="L11" s="14"/>
      <c r="M11" s="14"/>
    </row>
    <row r="12" customFormat="false" ht="35.05" hidden="false" customHeight="false" outlineLevel="0" collapsed="false">
      <c r="A12" s="18" t="s">
        <v>682</v>
      </c>
      <c r="B12" s="19" t="s">
        <v>650</v>
      </c>
      <c r="C12" s="19" t="s">
        <v>684</v>
      </c>
      <c r="D12" s="19" t="s">
        <v>61</v>
      </c>
      <c r="E12" s="19" t="s">
        <v>646</v>
      </c>
      <c r="F12" s="19" t="s">
        <v>685</v>
      </c>
      <c r="G12" s="19" t="s">
        <v>653</v>
      </c>
      <c r="H12" s="19" t="s">
        <v>217</v>
      </c>
      <c r="I12" s="19" t="s">
        <v>654</v>
      </c>
      <c r="J12" s="19" t="s">
        <v>61</v>
      </c>
      <c r="K12" s="19" t="s">
        <v>686</v>
      </c>
      <c r="L12" s="19" t="s">
        <v>656</v>
      </c>
      <c r="M12" s="19" t="s">
        <v>687</v>
      </c>
    </row>
    <row r="13" customFormat="false" ht="35.05" hidden="false" customHeight="false" outlineLevel="0" collapsed="false">
      <c r="A13" s="13" t="s">
        <v>688</v>
      </c>
      <c r="B13" s="14" t="s">
        <v>644</v>
      </c>
      <c r="C13" s="14" t="s">
        <v>689</v>
      </c>
      <c r="D13" s="14" t="s">
        <v>61</v>
      </c>
      <c r="E13" s="14" t="s">
        <v>646</v>
      </c>
      <c r="F13" s="14" t="s">
        <v>217</v>
      </c>
      <c r="G13" s="14" t="s">
        <v>653</v>
      </c>
      <c r="H13" s="14" t="s">
        <v>217</v>
      </c>
      <c r="I13" s="14" t="s">
        <v>654</v>
      </c>
      <c r="J13" s="14" t="s">
        <v>61</v>
      </c>
      <c r="K13" s="14" t="s">
        <v>690</v>
      </c>
      <c r="L13" s="14" t="s">
        <v>656</v>
      </c>
      <c r="M13" s="14" t="s">
        <v>691</v>
      </c>
    </row>
    <row r="14" customFormat="false" ht="23.85" hidden="false" customHeight="false" outlineLevel="0" collapsed="false">
      <c r="A14" s="18" t="s">
        <v>688</v>
      </c>
      <c r="B14" s="19" t="s">
        <v>650</v>
      </c>
      <c r="C14" s="19" t="s">
        <v>692</v>
      </c>
      <c r="D14" s="19" t="s">
        <v>157</v>
      </c>
      <c r="E14" s="19" t="s">
        <v>653</v>
      </c>
      <c r="F14" s="19" t="s">
        <v>693</v>
      </c>
      <c r="G14" s="19" t="s">
        <v>653</v>
      </c>
      <c r="H14" s="19" t="s">
        <v>217</v>
      </c>
      <c r="I14" s="19" t="s">
        <v>662</v>
      </c>
      <c r="J14" s="19" t="s">
        <v>157</v>
      </c>
      <c r="K14" s="19" t="s">
        <v>663</v>
      </c>
      <c r="L14" s="19"/>
      <c r="M14" s="19"/>
    </row>
    <row r="15" customFormat="false" ht="23.85" hidden="false" customHeight="false" outlineLevel="0" collapsed="false">
      <c r="A15" s="13" t="s">
        <v>688</v>
      </c>
      <c r="B15" s="14" t="s">
        <v>658</v>
      </c>
      <c r="C15" s="14" t="s">
        <v>694</v>
      </c>
      <c r="D15" s="14" t="s">
        <v>61</v>
      </c>
      <c r="E15" s="14" t="s">
        <v>653</v>
      </c>
      <c r="F15" s="14" t="s">
        <v>157</v>
      </c>
      <c r="G15" s="14" t="s">
        <v>646</v>
      </c>
      <c r="H15" s="14" t="s">
        <v>61</v>
      </c>
      <c r="I15" s="14" t="s">
        <v>648</v>
      </c>
      <c r="J15" s="14" t="s">
        <v>695</v>
      </c>
      <c r="K15" s="14" t="s">
        <v>649</v>
      </c>
      <c r="L15" s="14"/>
      <c r="M15" s="14"/>
    </row>
    <row r="16" customFormat="false" ht="23.85" hidden="false" customHeight="false" outlineLevel="0" collapsed="false">
      <c r="A16" s="18" t="s">
        <v>696</v>
      </c>
      <c r="B16" s="19" t="s">
        <v>644</v>
      </c>
      <c r="C16" s="19" t="s">
        <v>697</v>
      </c>
      <c r="D16" s="19" t="s">
        <v>157</v>
      </c>
      <c r="E16" s="19" t="s">
        <v>646</v>
      </c>
      <c r="F16" s="19" t="s">
        <v>217</v>
      </c>
      <c r="G16" s="19" t="s">
        <v>660</v>
      </c>
      <c r="H16" s="19" t="s">
        <v>217</v>
      </c>
      <c r="I16" s="19" t="s">
        <v>654</v>
      </c>
      <c r="J16" s="19" t="s">
        <v>157</v>
      </c>
      <c r="K16" s="19" t="s">
        <v>649</v>
      </c>
      <c r="L16" s="19"/>
      <c r="M16" s="19"/>
    </row>
    <row r="17" customFormat="false" ht="23.85" hidden="false" customHeight="false" outlineLevel="0" collapsed="false">
      <c r="A17" s="13" t="s">
        <v>696</v>
      </c>
      <c r="B17" s="14" t="s">
        <v>650</v>
      </c>
      <c r="C17" s="14" t="s">
        <v>698</v>
      </c>
      <c r="D17" s="14" t="s">
        <v>61</v>
      </c>
      <c r="E17" s="14" t="s">
        <v>646</v>
      </c>
      <c r="F17" s="14" t="s">
        <v>217</v>
      </c>
      <c r="G17" s="14" t="s">
        <v>646</v>
      </c>
      <c r="H17" s="14" t="s">
        <v>157</v>
      </c>
      <c r="I17" s="14" t="s">
        <v>669</v>
      </c>
      <c r="J17" s="14" t="s">
        <v>61</v>
      </c>
      <c r="K17" s="14" t="s">
        <v>699</v>
      </c>
      <c r="L17" s="14" t="s">
        <v>656</v>
      </c>
      <c r="M17" s="14" t="s">
        <v>700</v>
      </c>
    </row>
    <row r="18" customFormat="false" ht="23.85" hidden="false" customHeight="false" outlineLevel="0" collapsed="false">
      <c r="A18" s="18" t="s">
        <v>701</v>
      </c>
      <c r="B18" s="19" t="s">
        <v>644</v>
      </c>
      <c r="C18" s="19" t="s">
        <v>702</v>
      </c>
      <c r="D18" s="19" t="s">
        <v>61</v>
      </c>
      <c r="E18" s="19" t="s">
        <v>660</v>
      </c>
      <c r="F18" s="19" t="s">
        <v>61</v>
      </c>
      <c r="G18" s="19" t="s">
        <v>646</v>
      </c>
      <c r="H18" s="19" t="s">
        <v>61</v>
      </c>
      <c r="I18" s="19" t="s">
        <v>648</v>
      </c>
      <c r="J18" s="19" t="s">
        <v>217</v>
      </c>
      <c r="K18" s="19" t="s">
        <v>663</v>
      </c>
      <c r="L18" s="19"/>
      <c r="M18" s="19"/>
    </row>
    <row r="19" customFormat="false" ht="35.05" hidden="false" customHeight="false" outlineLevel="0" collapsed="false">
      <c r="A19" s="13" t="s">
        <v>701</v>
      </c>
      <c r="B19" s="14" t="s">
        <v>650</v>
      </c>
      <c r="C19" s="14" t="s">
        <v>703</v>
      </c>
      <c r="D19" s="14" t="s">
        <v>61</v>
      </c>
      <c r="E19" s="14" t="s">
        <v>646</v>
      </c>
      <c r="F19" s="14" t="s">
        <v>217</v>
      </c>
      <c r="G19" s="14" t="s">
        <v>653</v>
      </c>
      <c r="H19" s="14" t="s">
        <v>217</v>
      </c>
      <c r="I19" s="14" t="s">
        <v>654</v>
      </c>
      <c r="J19" s="14" t="s">
        <v>61</v>
      </c>
      <c r="K19" s="14" t="s">
        <v>704</v>
      </c>
      <c r="L19" s="14" t="s">
        <v>656</v>
      </c>
      <c r="M19" s="14" t="s">
        <v>705</v>
      </c>
    </row>
  </sheetData>
  <autoFilter ref="A2:M19"/>
  <mergeCells count="1">
    <mergeCell ref="A1:M1"/>
  </mergeCells>
  <conditionalFormatting sqref="L3:L19">
    <cfRule type="cellIs" priority="2" operator="equal" aboveAverage="0" equalAverage="0" bottom="0" percent="0" rank="0" text="" dxfId="13">
      <formula>"Recomendada"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899"/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2" t="s">
        <v>706</v>
      </c>
      <c r="B1" s="12"/>
      <c r="C1" s="12"/>
      <c r="D1" s="12"/>
    </row>
    <row r="2" customFormat="false" ht="31.5" hidden="false" customHeight="true" outlineLevel="0" collapsed="false">
      <c r="A2" s="6" t="s">
        <v>707</v>
      </c>
      <c r="B2" s="6" t="s">
        <v>708</v>
      </c>
      <c r="C2" s="6" t="s">
        <v>709</v>
      </c>
      <c r="D2" s="6" t="s">
        <v>710</v>
      </c>
    </row>
    <row r="3" customFormat="false" ht="23.85" hidden="false" customHeight="false" outlineLevel="0" collapsed="false">
      <c r="A3" s="13" t="s">
        <v>711</v>
      </c>
      <c r="B3" s="14" t="s">
        <v>712</v>
      </c>
      <c r="C3" s="26" t="s">
        <v>712</v>
      </c>
      <c r="D3" s="14" t="s">
        <v>713</v>
      </c>
    </row>
    <row r="4" customFormat="false" ht="23.85" hidden="false" customHeight="false" outlineLevel="0" collapsed="false">
      <c r="A4" s="18" t="s">
        <v>714</v>
      </c>
      <c r="B4" s="19" t="s">
        <v>715</v>
      </c>
      <c r="C4" s="26" t="s">
        <v>716</v>
      </c>
      <c r="D4" s="19" t="s">
        <v>717</v>
      </c>
    </row>
    <row r="5" customFormat="false" ht="15" hidden="false" customHeight="false" outlineLevel="0" collapsed="false">
      <c r="A5" s="13" t="s">
        <v>718</v>
      </c>
      <c r="B5" s="14" t="s">
        <v>719</v>
      </c>
      <c r="C5" s="26" t="s">
        <v>720</v>
      </c>
      <c r="D5" s="14" t="s">
        <v>721</v>
      </c>
    </row>
    <row r="6" customFormat="false" ht="23.85" hidden="false" customHeight="false" outlineLevel="0" collapsed="false">
      <c r="A6" s="18" t="s">
        <v>722</v>
      </c>
      <c r="B6" s="19" t="s">
        <v>723</v>
      </c>
      <c r="C6" s="26" t="s">
        <v>724</v>
      </c>
      <c r="D6" s="19" t="s">
        <v>725</v>
      </c>
    </row>
    <row r="7" customFormat="false" ht="23.85" hidden="false" customHeight="false" outlineLevel="0" collapsed="false">
      <c r="A7" s="13" t="s">
        <v>726</v>
      </c>
      <c r="B7" s="14" t="s">
        <v>646</v>
      </c>
      <c r="C7" s="26" t="s">
        <v>727</v>
      </c>
      <c r="D7" s="14" t="s">
        <v>728</v>
      </c>
    </row>
    <row r="8" customFormat="false" ht="15" hidden="false" customHeight="false" outlineLevel="0" collapsed="false">
      <c r="A8" s="18" t="s">
        <v>729</v>
      </c>
      <c r="B8" s="19" t="s">
        <v>660</v>
      </c>
      <c r="C8" s="26" t="s">
        <v>653</v>
      </c>
      <c r="D8" s="19" t="s">
        <v>730</v>
      </c>
    </row>
    <row r="9" customFormat="false" ht="15" hidden="false" customHeight="false" outlineLevel="0" collapsed="false">
      <c r="A9" s="13" t="s">
        <v>639</v>
      </c>
      <c r="B9" s="14" t="s">
        <v>61</v>
      </c>
      <c r="C9" s="26" t="s">
        <v>731</v>
      </c>
      <c r="D9" s="14" t="s">
        <v>732</v>
      </c>
    </row>
  </sheetData>
  <autoFilter ref="A2:D9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899"/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13"/>
    <col collapsed="false" customWidth="true" hidden="false" outlineLevel="0" max="6" min="6" style="0" width="46"/>
    <col collapsed="false" customWidth="true" hidden="false" outlineLevel="0" max="7" min="7" style="0" width="24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2" t="s">
        <v>733</v>
      </c>
      <c r="B1" s="12"/>
      <c r="C1" s="12"/>
      <c r="D1" s="12"/>
      <c r="E1" s="12"/>
      <c r="F1" s="12"/>
      <c r="G1" s="12"/>
      <c r="H1" s="12"/>
    </row>
    <row r="2" customFormat="false" ht="31.5" hidden="false" customHeight="true" outlineLevel="0" collapsed="false">
      <c r="A2" s="6" t="s">
        <v>57</v>
      </c>
      <c r="B2" s="6" t="s">
        <v>477</v>
      </c>
      <c r="C2" s="6" t="s">
        <v>734</v>
      </c>
      <c r="D2" s="6" t="s">
        <v>735</v>
      </c>
      <c r="E2" s="6" t="s">
        <v>736</v>
      </c>
      <c r="F2" s="6" t="s">
        <v>737</v>
      </c>
      <c r="G2" s="6" t="s">
        <v>738</v>
      </c>
      <c r="H2" s="6" t="s">
        <v>739</v>
      </c>
    </row>
    <row r="3" customFormat="false" ht="23.85" hidden="false" customHeight="false" outlineLevel="0" collapsed="false">
      <c r="A3" s="13" t="s">
        <v>219</v>
      </c>
      <c r="B3" s="14" t="s">
        <v>740</v>
      </c>
      <c r="C3" s="14" t="s">
        <v>741</v>
      </c>
      <c r="D3" s="14" t="s">
        <v>742</v>
      </c>
      <c r="E3" s="22" t="n">
        <v>46402</v>
      </c>
      <c r="F3" s="14" t="s">
        <v>743</v>
      </c>
      <c r="G3" s="14" t="s">
        <v>103</v>
      </c>
      <c r="H3" s="14" t="s">
        <v>744</v>
      </c>
    </row>
    <row r="4" customFormat="false" ht="35.05" hidden="false" customHeight="false" outlineLevel="0" collapsed="false">
      <c r="A4" s="18" t="s">
        <v>226</v>
      </c>
      <c r="B4" s="19" t="s">
        <v>745</v>
      </c>
      <c r="C4" s="19" t="s">
        <v>746</v>
      </c>
      <c r="D4" s="19" t="s">
        <v>747</v>
      </c>
      <c r="E4" s="23" t="n">
        <v>46423</v>
      </c>
      <c r="F4" s="19" t="s">
        <v>748</v>
      </c>
      <c r="G4" s="19" t="s">
        <v>749</v>
      </c>
      <c r="H4" s="19" t="s">
        <v>744</v>
      </c>
    </row>
    <row r="5" customFormat="false" ht="23.85" hidden="false" customHeight="false" outlineLevel="0" collapsed="false">
      <c r="A5" s="13" t="s">
        <v>229</v>
      </c>
      <c r="B5" s="14" t="s">
        <v>750</v>
      </c>
      <c r="C5" s="14" t="s">
        <v>751</v>
      </c>
      <c r="D5" s="14" t="s">
        <v>752</v>
      </c>
      <c r="E5" s="22" t="n">
        <v>46538</v>
      </c>
      <c r="F5" s="14" t="s">
        <v>753</v>
      </c>
      <c r="G5" s="14" t="s">
        <v>103</v>
      </c>
      <c r="H5" s="14" t="s">
        <v>744</v>
      </c>
    </row>
    <row r="6" customFormat="false" ht="23.85" hidden="false" customHeight="false" outlineLevel="0" collapsed="false">
      <c r="A6" s="18" t="s">
        <v>232</v>
      </c>
      <c r="B6" s="19" t="s">
        <v>754</v>
      </c>
      <c r="C6" s="19" t="s">
        <v>755</v>
      </c>
      <c r="D6" s="19" t="s">
        <v>756</v>
      </c>
      <c r="E6" s="23" t="n">
        <v>46745</v>
      </c>
      <c r="F6" s="19" t="s">
        <v>757</v>
      </c>
      <c r="G6" s="19" t="s">
        <v>758</v>
      </c>
      <c r="H6" s="19" t="s">
        <v>744</v>
      </c>
    </row>
    <row r="7" customFormat="false" ht="23.85" hidden="false" customHeight="false" outlineLevel="0" collapsed="false">
      <c r="A7" s="13" t="s">
        <v>238</v>
      </c>
      <c r="B7" s="14" t="s">
        <v>759</v>
      </c>
      <c r="C7" s="14" t="s">
        <v>760</v>
      </c>
      <c r="D7" s="14" t="s">
        <v>761</v>
      </c>
      <c r="E7" s="22" t="n">
        <v>47018</v>
      </c>
      <c r="F7" s="14" t="s">
        <v>762</v>
      </c>
      <c r="G7" s="14" t="s">
        <v>316</v>
      </c>
      <c r="H7" s="14" t="s">
        <v>744</v>
      </c>
    </row>
    <row r="8" customFormat="false" ht="23.85" hidden="false" customHeight="false" outlineLevel="0" collapsed="false">
      <c r="A8" s="18" t="s">
        <v>235</v>
      </c>
      <c r="B8" s="19" t="s">
        <v>763</v>
      </c>
      <c r="C8" s="19" t="s">
        <v>764</v>
      </c>
      <c r="D8" s="19" t="s">
        <v>765</v>
      </c>
      <c r="E8" s="23" t="n">
        <v>47012</v>
      </c>
      <c r="F8" s="19" t="s">
        <v>766</v>
      </c>
      <c r="G8" s="19" t="s">
        <v>158</v>
      </c>
      <c r="H8" s="19" t="s">
        <v>744</v>
      </c>
    </row>
    <row r="9" customFormat="false" ht="23.85" hidden="false" customHeight="false" outlineLevel="0" collapsed="false">
      <c r="A9" s="13" t="s">
        <v>175</v>
      </c>
      <c r="B9" s="14" t="s">
        <v>767</v>
      </c>
      <c r="C9" s="14" t="s">
        <v>768</v>
      </c>
      <c r="D9" s="14" t="s">
        <v>769</v>
      </c>
      <c r="E9" s="22" t="n">
        <v>47480</v>
      </c>
      <c r="F9" s="14" t="s">
        <v>770</v>
      </c>
      <c r="G9" s="14" t="s">
        <v>224</v>
      </c>
      <c r="H9" s="14" t="s">
        <v>744</v>
      </c>
    </row>
  </sheetData>
  <autoFilter ref="A2:H9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899"/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2" t="s">
        <v>771</v>
      </c>
      <c r="B1" s="12"/>
      <c r="C1" s="12"/>
    </row>
    <row r="2" customFormat="false" ht="31.5" hidden="false" customHeight="true" outlineLevel="0" collapsed="false">
      <c r="A2" s="6" t="s">
        <v>772</v>
      </c>
      <c r="B2" s="6" t="s">
        <v>773</v>
      </c>
      <c r="C2" s="6" t="s">
        <v>774</v>
      </c>
    </row>
    <row r="3" customFormat="false" ht="23.85" hidden="false" customHeight="false" outlineLevel="0" collapsed="false">
      <c r="A3" s="13" t="s">
        <v>775</v>
      </c>
      <c r="B3" s="14" t="s">
        <v>776</v>
      </c>
      <c r="C3" s="14" t="s">
        <v>777</v>
      </c>
    </row>
    <row r="4" customFormat="false" ht="15" hidden="false" customHeight="false" outlineLevel="0" collapsed="false">
      <c r="A4" s="18" t="s">
        <v>778</v>
      </c>
      <c r="B4" s="19" t="s">
        <v>27</v>
      </c>
      <c r="C4" s="19" t="s">
        <v>779</v>
      </c>
    </row>
    <row r="5" customFormat="false" ht="15" hidden="false" customHeight="false" outlineLevel="0" collapsed="false">
      <c r="A5" s="13" t="s">
        <v>780</v>
      </c>
      <c r="B5" s="14" t="s">
        <v>26</v>
      </c>
      <c r="C5" s="14" t="s">
        <v>781</v>
      </c>
    </row>
    <row r="6" customFormat="false" ht="15" hidden="false" customHeight="false" outlineLevel="0" collapsed="false">
      <c r="A6" s="18" t="s">
        <v>782</v>
      </c>
      <c r="B6" s="19" t="s">
        <v>26</v>
      </c>
      <c r="C6" s="19" t="s">
        <v>783</v>
      </c>
    </row>
    <row r="7" customFormat="false" ht="23.85" hidden="false" customHeight="false" outlineLevel="0" collapsed="false">
      <c r="A7" s="13" t="s">
        <v>784</v>
      </c>
      <c r="B7" s="14" t="s">
        <v>28</v>
      </c>
      <c r="C7" s="14" t="s">
        <v>785</v>
      </c>
    </row>
    <row r="8" customFormat="false" ht="23.85" hidden="false" customHeight="false" outlineLevel="0" collapsed="false">
      <c r="A8" s="18" t="s">
        <v>786</v>
      </c>
      <c r="B8" s="19" t="s">
        <v>29</v>
      </c>
      <c r="C8" s="19" t="s">
        <v>787</v>
      </c>
    </row>
    <row r="9" customFormat="false" ht="15" hidden="false" customHeight="false" outlineLevel="0" collapsed="false">
      <c r="A9" s="13" t="s">
        <v>788</v>
      </c>
      <c r="B9" s="14" t="s">
        <v>25</v>
      </c>
      <c r="C9" s="14" t="s">
        <v>789</v>
      </c>
    </row>
    <row r="10" customFormat="false" ht="23.85" hidden="false" customHeight="false" outlineLevel="0" collapsed="false">
      <c r="A10" s="18" t="s">
        <v>790</v>
      </c>
      <c r="B10" s="19" t="s">
        <v>791</v>
      </c>
      <c r="C10" s="19" t="s">
        <v>792</v>
      </c>
    </row>
  </sheetData>
  <autoFilter ref="A2:C10"/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899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56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2" t="s">
        <v>793</v>
      </c>
      <c r="B1" s="12"/>
      <c r="C1" s="12"/>
      <c r="D1" s="12"/>
      <c r="E1" s="12"/>
      <c r="F1" s="12"/>
      <c r="G1" s="12"/>
      <c r="H1" s="12"/>
    </row>
    <row r="2" customFormat="false" ht="31.5" hidden="false" customHeight="true" outlineLevel="0" collapsed="false">
      <c r="A2" s="6" t="s">
        <v>49</v>
      </c>
      <c r="B2" s="6" t="s">
        <v>794</v>
      </c>
      <c r="C2" s="6" t="s">
        <v>795</v>
      </c>
      <c r="D2" s="6" t="s">
        <v>17</v>
      </c>
      <c r="E2" s="6" t="s">
        <v>796</v>
      </c>
      <c r="F2" s="6" t="s">
        <v>797</v>
      </c>
      <c r="G2" s="6" t="s">
        <v>798</v>
      </c>
      <c r="H2" s="6" t="s">
        <v>799</v>
      </c>
    </row>
    <row r="3" customFormat="false" ht="15" hidden="false" customHeight="false" outlineLevel="0" collapsed="false">
      <c r="A3" s="27" t="n">
        <v>1</v>
      </c>
      <c r="B3" s="14" t="s">
        <v>800</v>
      </c>
      <c r="C3" s="14" t="s">
        <v>801</v>
      </c>
      <c r="D3" s="14" t="s">
        <v>31</v>
      </c>
      <c r="E3" s="14" t="s">
        <v>802</v>
      </c>
      <c r="F3" s="14" t="s">
        <v>803</v>
      </c>
      <c r="G3" s="14" t="s">
        <v>804</v>
      </c>
      <c r="H3" s="14" t="s">
        <v>805</v>
      </c>
    </row>
    <row r="4" customFormat="false" ht="15" hidden="false" customHeight="false" outlineLevel="0" collapsed="false">
      <c r="A4" s="28" t="n">
        <v>1</v>
      </c>
      <c r="B4" s="19" t="s">
        <v>800</v>
      </c>
      <c r="C4" s="19" t="s">
        <v>806</v>
      </c>
      <c r="D4" s="19" t="s">
        <v>25</v>
      </c>
      <c r="E4" s="19" t="s">
        <v>807</v>
      </c>
      <c r="F4" s="19" t="s">
        <v>808</v>
      </c>
      <c r="G4" s="19" t="s">
        <v>809</v>
      </c>
      <c r="H4" s="19" t="s">
        <v>435</v>
      </c>
    </row>
    <row r="5" customFormat="false" ht="23.85" hidden="false" customHeight="false" outlineLevel="0" collapsed="false">
      <c r="A5" s="27" t="n">
        <v>1</v>
      </c>
      <c r="B5" s="14" t="s">
        <v>800</v>
      </c>
      <c r="C5" s="14" t="s">
        <v>810</v>
      </c>
      <c r="D5" s="14" t="s">
        <v>24</v>
      </c>
      <c r="E5" s="14" t="s">
        <v>103</v>
      </c>
      <c r="F5" s="14" t="s">
        <v>803</v>
      </c>
      <c r="G5" s="14" t="s">
        <v>811</v>
      </c>
      <c r="H5" s="14" t="s">
        <v>812</v>
      </c>
    </row>
    <row r="6" customFormat="false" ht="15" hidden="false" customHeight="false" outlineLevel="0" collapsed="false">
      <c r="A6" s="28" t="n">
        <v>1</v>
      </c>
      <c r="B6" s="19" t="s">
        <v>800</v>
      </c>
      <c r="C6" s="19" t="s">
        <v>813</v>
      </c>
      <c r="D6" s="19" t="s">
        <v>30</v>
      </c>
      <c r="E6" s="19" t="s">
        <v>814</v>
      </c>
      <c r="F6" s="19" t="s">
        <v>815</v>
      </c>
      <c r="G6" s="19" t="s">
        <v>816</v>
      </c>
      <c r="H6" s="19" t="s">
        <v>435</v>
      </c>
    </row>
    <row r="7" customFormat="false" ht="23.85" hidden="false" customHeight="false" outlineLevel="0" collapsed="false">
      <c r="A7" s="27" t="n">
        <v>1</v>
      </c>
      <c r="B7" s="14" t="s">
        <v>800</v>
      </c>
      <c r="C7" s="14" t="s">
        <v>817</v>
      </c>
      <c r="D7" s="14" t="s">
        <v>818</v>
      </c>
      <c r="E7" s="14" t="s">
        <v>77</v>
      </c>
      <c r="F7" s="14" t="s">
        <v>815</v>
      </c>
      <c r="G7" s="14" t="s">
        <v>819</v>
      </c>
      <c r="H7" s="14" t="s">
        <v>820</v>
      </c>
    </row>
    <row r="8" customFormat="false" ht="23.85" hidden="false" customHeight="false" outlineLevel="0" collapsed="false">
      <c r="A8" s="28" t="n">
        <v>2</v>
      </c>
      <c r="B8" s="19" t="s">
        <v>821</v>
      </c>
      <c r="C8" s="19" t="s">
        <v>822</v>
      </c>
      <c r="D8" s="19" t="s">
        <v>31</v>
      </c>
      <c r="E8" s="19" t="s">
        <v>823</v>
      </c>
      <c r="F8" s="19" t="s">
        <v>803</v>
      </c>
      <c r="G8" s="19" t="s">
        <v>824</v>
      </c>
      <c r="H8" s="19" t="s">
        <v>825</v>
      </c>
    </row>
    <row r="9" customFormat="false" ht="23.85" hidden="false" customHeight="false" outlineLevel="0" collapsed="false">
      <c r="A9" s="27" t="n">
        <v>2</v>
      </c>
      <c r="B9" s="14" t="s">
        <v>821</v>
      </c>
      <c r="C9" s="14" t="s">
        <v>826</v>
      </c>
      <c r="D9" s="14" t="s">
        <v>31</v>
      </c>
      <c r="E9" s="14" t="s">
        <v>823</v>
      </c>
      <c r="F9" s="14" t="s">
        <v>827</v>
      </c>
      <c r="G9" s="14" t="s">
        <v>828</v>
      </c>
      <c r="H9" s="14" t="s">
        <v>825</v>
      </c>
    </row>
    <row r="10" customFormat="false" ht="15" hidden="false" customHeight="false" outlineLevel="0" collapsed="false">
      <c r="A10" s="28" t="n">
        <v>2</v>
      </c>
      <c r="B10" s="19" t="s">
        <v>821</v>
      </c>
      <c r="C10" s="19" t="s">
        <v>829</v>
      </c>
      <c r="D10" s="19" t="s">
        <v>31</v>
      </c>
      <c r="E10" s="19" t="s">
        <v>823</v>
      </c>
      <c r="F10" s="19" t="s">
        <v>830</v>
      </c>
      <c r="G10" s="19" t="s">
        <v>831</v>
      </c>
      <c r="H10" s="19" t="s">
        <v>435</v>
      </c>
    </row>
    <row r="11" customFormat="false" ht="23.85" hidden="false" customHeight="false" outlineLevel="0" collapsed="false">
      <c r="A11" s="27" t="n">
        <v>2</v>
      </c>
      <c r="B11" s="14" t="s">
        <v>821</v>
      </c>
      <c r="C11" s="14" t="s">
        <v>832</v>
      </c>
      <c r="D11" s="14" t="s">
        <v>31</v>
      </c>
      <c r="E11" s="14" t="s">
        <v>833</v>
      </c>
      <c r="F11" s="14" t="s">
        <v>830</v>
      </c>
      <c r="G11" s="14" t="s">
        <v>834</v>
      </c>
      <c r="H11" s="14" t="s">
        <v>435</v>
      </c>
    </row>
    <row r="12" customFormat="false" ht="15" hidden="false" customHeight="false" outlineLevel="0" collapsed="false">
      <c r="A12" s="28" t="n">
        <v>3</v>
      </c>
      <c r="B12" s="19" t="s">
        <v>835</v>
      </c>
      <c r="C12" s="19" t="s">
        <v>836</v>
      </c>
      <c r="D12" s="19" t="s">
        <v>28</v>
      </c>
      <c r="E12" s="19" t="s">
        <v>143</v>
      </c>
      <c r="F12" s="19" t="s">
        <v>837</v>
      </c>
      <c r="G12" s="19" t="s">
        <v>838</v>
      </c>
      <c r="H12" s="19" t="s">
        <v>812</v>
      </c>
    </row>
    <row r="13" customFormat="false" ht="23.85" hidden="false" customHeight="false" outlineLevel="0" collapsed="false">
      <c r="A13" s="27" t="n">
        <v>3</v>
      </c>
      <c r="B13" s="14" t="s">
        <v>835</v>
      </c>
      <c r="C13" s="14" t="s">
        <v>839</v>
      </c>
      <c r="D13" s="14" t="s">
        <v>840</v>
      </c>
      <c r="E13" s="14" t="s">
        <v>128</v>
      </c>
      <c r="F13" s="14" t="s">
        <v>837</v>
      </c>
      <c r="G13" s="14" t="s">
        <v>841</v>
      </c>
      <c r="H13" s="14" t="s">
        <v>820</v>
      </c>
    </row>
    <row r="14" customFormat="false" ht="15" hidden="false" customHeight="false" outlineLevel="0" collapsed="false">
      <c r="A14" s="28" t="n">
        <v>3</v>
      </c>
      <c r="B14" s="19" t="s">
        <v>835</v>
      </c>
      <c r="C14" s="19" t="s">
        <v>842</v>
      </c>
      <c r="D14" s="19" t="s">
        <v>26</v>
      </c>
      <c r="E14" s="19" t="s">
        <v>62</v>
      </c>
      <c r="F14" s="19" t="s">
        <v>837</v>
      </c>
      <c r="G14" s="19" t="s">
        <v>843</v>
      </c>
      <c r="H14" s="19" t="s">
        <v>812</v>
      </c>
    </row>
    <row r="15" customFormat="false" ht="23.85" hidden="false" customHeight="false" outlineLevel="0" collapsed="false">
      <c r="A15" s="27" t="n">
        <v>3</v>
      </c>
      <c r="B15" s="14" t="s">
        <v>835</v>
      </c>
      <c r="C15" s="14" t="s">
        <v>844</v>
      </c>
      <c r="D15" s="14" t="s">
        <v>24</v>
      </c>
      <c r="E15" s="14" t="s">
        <v>103</v>
      </c>
      <c r="F15" s="14" t="s">
        <v>815</v>
      </c>
      <c r="G15" s="14" t="s">
        <v>845</v>
      </c>
      <c r="H15" s="14" t="s">
        <v>812</v>
      </c>
    </row>
    <row r="16" customFormat="false" ht="23.85" hidden="false" customHeight="false" outlineLevel="0" collapsed="false">
      <c r="A16" s="28" t="n">
        <v>3</v>
      </c>
      <c r="B16" s="19" t="s">
        <v>835</v>
      </c>
      <c r="C16" s="19" t="s">
        <v>846</v>
      </c>
      <c r="D16" s="19" t="s">
        <v>847</v>
      </c>
      <c r="E16" s="19" t="s">
        <v>848</v>
      </c>
      <c r="F16" s="19" t="s">
        <v>849</v>
      </c>
      <c r="G16" s="19" t="s">
        <v>850</v>
      </c>
      <c r="H16" s="19" t="s">
        <v>820</v>
      </c>
    </row>
    <row r="17" customFormat="false" ht="23.85" hidden="false" customHeight="false" outlineLevel="0" collapsed="false">
      <c r="A17" s="27" t="n">
        <v>4</v>
      </c>
      <c r="B17" s="14" t="s">
        <v>851</v>
      </c>
      <c r="C17" s="14" t="s">
        <v>852</v>
      </c>
      <c r="D17" s="14" t="s">
        <v>853</v>
      </c>
      <c r="E17" s="14" t="s">
        <v>224</v>
      </c>
      <c r="F17" s="14" t="s">
        <v>849</v>
      </c>
      <c r="G17" s="14" t="s">
        <v>854</v>
      </c>
      <c r="H17" s="14" t="s">
        <v>435</v>
      </c>
    </row>
    <row r="18" customFormat="false" ht="23.85" hidden="false" customHeight="false" outlineLevel="0" collapsed="false">
      <c r="A18" s="28" t="n">
        <v>4</v>
      </c>
      <c r="B18" s="19" t="s">
        <v>851</v>
      </c>
      <c r="C18" s="19" t="s">
        <v>855</v>
      </c>
      <c r="D18" s="19" t="s">
        <v>856</v>
      </c>
      <c r="E18" s="19" t="s">
        <v>857</v>
      </c>
      <c r="F18" s="19" t="s">
        <v>815</v>
      </c>
      <c r="G18" s="19" t="s">
        <v>858</v>
      </c>
      <c r="H18" s="19" t="s">
        <v>435</v>
      </c>
    </row>
    <row r="19" customFormat="false" ht="23.85" hidden="false" customHeight="false" outlineLevel="0" collapsed="false">
      <c r="A19" s="27" t="n">
        <v>4</v>
      </c>
      <c r="B19" s="14" t="s">
        <v>851</v>
      </c>
      <c r="C19" s="14" t="s">
        <v>859</v>
      </c>
      <c r="D19" s="14" t="s">
        <v>31</v>
      </c>
      <c r="E19" s="14" t="s">
        <v>860</v>
      </c>
      <c r="F19" s="14" t="s">
        <v>861</v>
      </c>
      <c r="G19" s="14" t="s">
        <v>862</v>
      </c>
      <c r="H19" s="14" t="s">
        <v>435</v>
      </c>
    </row>
    <row r="20" customFormat="false" ht="23.85" hidden="false" customHeight="false" outlineLevel="0" collapsed="false">
      <c r="A20" s="28" t="n">
        <v>4</v>
      </c>
      <c r="B20" s="19" t="s">
        <v>851</v>
      </c>
      <c r="C20" s="19" t="s">
        <v>863</v>
      </c>
      <c r="D20" s="19" t="s">
        <v>864</v>
      </c>
      <c r="E20" s="19" t="s">
        <v>165</v>
      </c>
      <c r="F20" s="19" t="s">
        <v>865</v>
      </c>
      <c r="G20" s="19" t="s">
        <v>866</v>
      </c>
      <c r="H20" s="19" t="s">
        <v>820</v>
      </c>
    </row>
    <row r="21" customFormat="false" ht="23.85" hidden="false" customHeight="false" outlineLevel="0" collapsed="false">
      <c r="A21" s="27" t="n">
        <v>5</v>
      </c>
      <c r="B21" s="14" t="s">
        <v>867</v>
      </c>
      <c r="C21" s="14" t="s">
        <v>868</v>
      </c>
      <c r="D21" s="14" t="s">
        <v>869</v>
      </c>
      <c r="E21" s="14" t="s">
        <v>870</v>
      </c>
      <c r="F21" s="14" t="s">
        <v>837</v>
      </c>
      <c r="G21" s="14" t="s">
        <v>871</v>
      </c>
      <c r="H21" s="14" t="s">
        <v>805</v>
      </c>
    </row>
    <row r="22" customFormat="false" ht="23.85" hidden="false" customHeight="false" outlineLevel="0" collapsed="false">
      <c r="A22" s="28" t="n">
        <v>5</v>
      </c>
      <c r="B22" s="19" t="s">
        <v>867</v>
      </c>
      <c r="C22" s="19" t="s">
        <v>872</v>
      </c>
      <c r="D22" s="19" t="s">
        <v>31</v>
      </c>
      <c r="E22" s="19" t="s">
        <v>823</v>
      </c>
      <c r="F22" s="19" t="s">
        <v>873</v>
      </c>
      <c r="G22" s="19" t="s">
        <v>874</v>
      </c>
      <c r="H22" s="19" t="s">
        <v>825</v>
      </c>
    </row>
  </sheetData>
  <autoFilter ref="A2:H2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899"/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24"/>
    <col collapsed="false" customWidth="true" hidden="false" outlineLevel="0" max="8" min="8" style="0" width="26"/>
    <col collapsed="false" customWidth="true" hidden="false" outlineLevel="0" max="9" min="9" style="0" width="13"/>
  </cols>
  <sheetData>
    <row r="1" customFormat="false" ht="30" hidden="false" customHeight="true" outlineLevel="0" collapsed="false">
      <c r="A1" s="12" t="s">
        <v>875</v>
      </c>
      <c r="B1" s="12"/>
      <c r="C1" s="12"/>
      <c r="D1" s="12"/>
      <c r="E1" s="12"/>
      <c r="F1" s="12"/>
      <c r="G1" s="12"/>
      <c r="H1" s="12"/>
      <c r="I1" s="12"/>
    </row>
    <row r="2" customFormat="false" ht="31.5" hidden="false" customHeight="true" outlineLevel="0" collapsed="false">
      <c r="A2" s="6" t="s">
        <v>446</v>
      </c>
      <c r="B2" s="6" t="s">
        <v>561</v>
      </c>
      <c r="C2" s="6" t="s">
        <v>876</v>
      </c>
      <c r="D2" s="6" t="s">
        <v>877</v>
      </c>
      <c r="E2" s="6" t="s">
        <v>878</v>
      </c>
      <c r="F2" s="6" t="s">
        <v>879</v>
      </c>
      <c r="G2" s="6" t="s">
        <v>880</v>
      </c>
      <c r="H2" s="6" t="s">
        <v>881</v>
      </c>
      <c r="I2" s="6" t="s">
        <v>797</v>
      </c>
    </row>
    <row r="3" customFormat="false" ht="35.05" hidden="false" customHeight="false" outlineLevel="0" collapsed="false">
      <c r="A3" s="13" t="s">
        <v>882</v>
      </c>
      <c r="B3" s="14" t="s">
        <v>883</v>
      </c>
      <c r="C3" s="14" t="s">
        <v>884</v>
      </c>
      <c r="D3" s="14" t="s">
        <v>885</v>
      </c>
      <c r="E3" s="14" t="s">
        <v>650</v>
      </c>
      <c r="F3" s="14" t="s">
        <v>886</v>
      </c>
      <c r="G3" s="14" t="s">
        <v>887</v>
      </c>
      <c r="H3" s="14" t="s">
        <v>888</v>
      </c>
      <c r="I3" s="14" t="s">
        <v>837</v>
      </c>
    </row>
    <row r="4" customFormat="false" ht="35.05" hidden="false" customHeight="false" outlineLevel="0" collapsed="false">
      <c r="A4" s="18" t="s">
        <v>889</v>
      </c>
      <c r="B4" s="19" t="s">
        <v>890</v>
      </c>
      <c r="C4" s="19" t="s">
        <v>891</v>
      </c>
      <c r="D4" s="19" t="s">
        <v>892</v>
      </c>
      <c r="E4" s="19" t="s">
        <v>650</v>
      </c>
      <c r="F4" s="19" t="s">
        <v>893</v>
      </c>
      <c r="G4" s="19" t="s">
        <v>894</v>
      </c>
      <c r="H4" s="19" t="s">
        <v>895</v>
      </c>
      <c r="I4" s="19" t="s">
        <v>837</v>
      </c>
    </row>
    <row r="5" customFormat="false" ht="23.85" hidden="false" customHeight="false" outlineLevel="0" collapsed="false">
      <c r="A5" s="13" t="s">
        <v>896</v>
      </c>
      <c r="B5" s="14" t="s">
        <v>897</v>
      </c>
      <c r="C5" s="14" t="s">
        <v>898</v>
      </c>
      <c r="D5" s="14" t="s">
        <v>899</v>
      </c>
      <c r="E5" s="14" t="s">
        <v>644</v>
      </c>
      <c r="F5" s="14" t="s">
        <v>900</v>
      </c>
      <c r="G5" s="14" t="s">
        <v>901</v>
      </c>
      <c r="H5" s="14" t="s">
        <v>814</v>
      </c>
      <c r="I5" s="14" t="s">
        <v>815</v>
      </c>
    </row>
    <row r="6" customFormat="false" ht="35.05" hidden="false" customHeight="false" outlineLevel="0" collapsed="false">
      <c r="A6" s="18" t="s">
        <v>902</v>
      </c>
      <c r="B6" s="19" t="s">
        <v>903</v>
      </c>
      <c r="C6" s="19" t="s">
        <v>904</v>
      </c>
      <c r="D6" s="19" t="s">
        <v>905</v>
      </c>
      <c r="E6" s="19" t="s">
        <v>644</v>
      </c>
      <c r="F6" s="19" t="s">
        <v>906</v>
      </c>
      <c r="G6" s="19" t="s">
        <v>907</v>
      </c>
      <c r="H6" s="19" t="s">
        <v>224</v>
      </c>
      <c r="I6" s="19" t="s">
        <v>808</v>
      </c>
    </row>
    <row r="7" customFormat="false" ht="46.25" hidden="false" customHeight="false" outlineLevel="0" collapsed="false">
      <c r="A7" s="13" t="s">
        <v>908</v>
      </c>
      <c r="B7" s="14" t="s">
        <v>909</v>
      </c>
      <c r="C7" s="14" t="s">
        <v>910</v>
      </c>
      <c r="D7" s="14" t="s">
        <v>911</v>
      </c>
      <c r="E7" s="14" t="s">
        <v>644</v>
      </c>
      <c r="F7" s="14" t="s">
        <v>912</v>
      </c>
      <c r="G7" s="14" t="s">
        <v>856</v>
      </c>
      <c r="H7" s="14" t="s">
        <v>857</v>
      </c>
      <c r="I7" s="14" t="s">
        <v>815</v>
      </c>
    </row>
    <row r="8" customFormat="false" ht="23.85" hidden="false" customHeight="false" outlineLevel="0" collapsed="false">
      <c r="A8" s="18" t="s">
        <v>913</v>
      </c>
      <c r="B8" s="19" t="s">
        <v>914</v>
      </c>
      <c r="C8" s="19" t="s">
        <v>915</v>
      </c>
      <c r="D8" s="19" t="s">
        <v>916</v>
      </c>
      <c r="E8" s="19" t="s">
        <v>650</v>
      </c>
      <c r="F8" s="19" t="s">
        <v>917</v>
      </c>
      <c r="G8" s="19" t="s">
        <v>24</v>
      </c>
      <c r="H8" s="19" t="s">
        <v>103</v>
      </c>
      <c r="I8" s="19" t="s">
        <v>815</v>
      </c>
    </row>
    <row r="9" customFormat="false" ht="35.05" hidden="false" customHeight="false" outlineLevel="0" collapsed="false">
      <c r="A9" s="13" t="s">
        <v>918</v>
      </c>
      <c r="B9" s="14" t="s">
        <v>919</v>
      </c>
      <c r="C9" s="14" t="s">
        <v>920</v>
      </c>
      <c r="D9" s="14" t="s">
        <v>921</v>
      </c>
      <c r="E9" s="14" t="s">
        <v>650</v>
      </c>
      <c r="F9" s="14" t="s">
        <v>922</v>
      </c>
      <c r="G9" s="14" t="s">
        <v>923</v>
      </c>
      <c r="H9" s="14" t="s">
        <v>805</v>
      </c>
      <c r="I9" s="14" t="s">
        <v>837</v>
      </c>
    </row>
    <row r="10" customFormat="false" ht="23.85" hidden="false" customHeight="false" outlineLevel="0" collapsed="false">
      <c r="A10" s="18" t="s">
        <v>924</v>
      </c>
      <c r="B10" s="19" t="s">
        <v>925</v>
      </c>
      <c r="C10" s="19" t="s">
        <v>926</v>
      </c>
      <c r="D10" s="19" t="s">
        <v>927</v>
      </c>
      <c r="E10" s="19" t="s">
        <v>650</v>
      </c>
      <c r="F10" s="19" t="s">
        <v>928</v>
      </c>
      <c r="G10" s="19" t="s">
        <v>768</v>
      </c>
      <c r="H10" s="19" t="s">
        <v>224</v>
      </c>
      <c r="I10" s="19" t="s">
        <v>861</v>
      </c>
    </row>
    <row r="11" customFormat="false" ht="23.85" hidden="false" customHeight="false" outlineLevel="0" collapsed="false">
      <c r="A11" s="13" t="s">
        <v>929</v>
      </c>
      <c r="B11" s="14" t="s">
        <v>930</v>
      </c>
      <c r="C11" s="14" t="s">
        <v>931</v>
      </c>
      <c r="D11" s="14" t="s">
        <v>932</v>
      </c>
      <c r="E11" s="14" t="s">
        <v>650</v>
      </c>
      <c r="F11" s="14" t="s">
        <v>933</v>
      </c>
      <c r="G11" s="14" t="s">
        <v>768</v>
      </c>
      <c r="H11" s="14" t="s">
        <v>934</v>
      </c>
      <c r="I11" s="14" t="s">
        <v>830</v>
      </c>
    </row>
  </sheetData>
  <autoFilter ref="A2:I11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899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2" t="s">
        <v>935</v>
      </c>
      <c r="B1" s="12"/>
      <c r="C1" s="12"/>
      <c r="D1" s="12"/>
      <c r="E1" s="12"/>
      <c r="F1" s="12"/>
    </row>
    <row r="2" customFormat="false" ht="31.5" hidden="false" customHeight="true" outlineLevel="0" collapsed="false">
      <c r="A2" s="6" t="s">
        <v>936</v>
      </c>
      <c r="B2" s="6" t="s">
        <v>937</v>
      </c>
      <c r="C2" s="6" t="s">
        <v>938</v>
      </c>
      <c r="D2" s="6" t="s">
        <v>939</v>
      </c>
      <c r="E2" s="6" t="s">
        <v>729</v>
      </c>
      <c r="F2" s="6" t="s">
        <v>940</v>
      </c>
    </row>
    <row r="3" customFormat="false" ht="23.85" hidden="false" customHeight="false" outlineLevel="0" collapsed="false">
      <c r="A3" s="13" t="s">
        <v>941</v>
      </c>
      <c r="B3" s="14" t="s">
        <v>942</v>
      </c>
      <c r="C3" s="14" t="s">
        <v>943</v>
      </c>
      <c r="D3" s="14" t="s">
        <v>944</v>
      </c>
      <c r="E3" s="14" t="s">
        <v>157</v>
      </c>
      <c r="F3" s="14" t="s">
        <v>945</v>
      </c>
    </row>
    <row r="4" customFormat="false" ht="23.85" hidden="false" customHeight="false" outlineLevel="0" collapsed="false">
      <c r="A4" s="18" t="s">
        <v>946</v>
      </c>
      <c r="B4" s="19" t="s">
        <v>942</v>
      </c>
      <c r="C4" s="19" t="s">
        <v>947</v>
      </c>
      <c r="D4" s="19" t="s">
        <v>948</v>
      </c>
      <c r="E4" s="19" t="s">
        <v>157</v>
      </c>
      <c r="F4" s="19" t="s">
        <v>945</v>
      </c>
    </row>
    <row r="5" customFormat="false" ht="23.85" hidden="false" customHeight="false" outlineLevel="0" collapsed="false">
      <c r="A5" s="13" t="s">
        <v>949</v>
      </c>
      <c r="B5" s="14" t="s">
        <v>61</v>
      </c>
      <c r="C5" s="14" t="s">
        <v>950</v>
      </c>
      <c r="D5" s="14" t="s">
        <v>951</v>
      </c>
      <c r="E5" s="14" t="s">
        <v>217</v>
      </c>
      <c r="F5" s="14" t="s">
        <v>945</v>
      </c>
    </row>
    <row r="6" customFormat="false" ht="15" hidden="false" customHeight="false" outlineLevel="0" collapsed="false">
      <c r="A6" s="18" t="s">
        <v>952</v>
      </c>
      <c r="B6" s="19" t="s">
        <v>61</v>
      </c>
      <c r="C6" s="19" t="s">
        <v>497</v>
      </c>
      <c r="D6" s="19" t="s">
        <v>953</v>
      </c>
      <c r="E6" s="19" t="s">
        <v>157</v>
      </c>
      <c r="F6" s="19" t="s">
        <v>92</v>
      </c>
    </row>
    <row r="7" customFormat="false" ht="23.85" hidden="false" customHeight="false" outlineLevel="0" collapsed="false">
      <c r="A7" s="13" t="s">
        <v>954</v>
      </c>
      <c r="B7" s="14" t="s">
        <v>61</v>
      </c>
      <c r="C7" s="14" t="s">
        <v>955</v>
      </c>
      <c r="D7" s="14" t="s">
        <v>956</v>
      </c>
      <c r="E7" s="14" t="s">
        <v>217</v>
      </c>
      <c r="F7" s="14" t="s">
        <v>945</v>
      </c>
    </row>
    <row r="8" customFormat="false" ht="23.85" hidden="false" customHeight="false" outlineLevel="0" collapsed="false">
      <c r="A8" s="18" t="s">
        <v>957</v>
      </c>
      <c r="B8" s="19" t="s">
        <v>61</v>
      </c>
      <c r="C8" s="19" t="s">
        <v>958</v>
      </c>
      <c r="D8" s="19" t="s">
        <v>849</v>
      </c>
      <c r="E8" s="19" t="s">
        <v>157</v>
      </c>
      <c r="F8" s="19" t="s">
        <v>945</v>
      </c>
    </row>
    <row r="9" customFormat="false" ht="23.85" hidden="false" customHeight="false" outlineLevel="0" collapsed="false">
      <c r="A9" s="13" t="s">
        <v>959</v>
      </c>
      <c r="B9" s="14" t="s">
        <v>61</v>
      </c>
      <c r="C9" s="14" t="s">
        <v>960</v>
      </c>
      <c r="D9" s="14" t="s">
        <v>961</v>
      </c>
      <c r="E9" s="14" t="s">
        <v>157</v>
      </c>
      <c r="F9" s="14" t="s">
        <v>92</v>
      </c>
    </row>
    <row r="10" customFormat="false" ht="23.85" hidden="false" customHeight="false" outlineLevel="0" collapsed="false">
      <c r="A10" s="18" t="s">
        <v>962</v>
      </c>
      <c r="B10" s="19" t="s">
        <v>157</v>
      </c>
      <c r="C10" s="19" t="s">
        <v>963</v>
      </c>
      <c r="D10" s="19" t="s">
        <v>849</v>
      </c>
      <c r="E10" s="19" t="s">
        <v>217</v>
      </c>
      <c r="F10" s="19" t="s">
        <v>945</v>
      </c>
    </row>
    <row r="11" customFormat="false" ht="15" hidden="false" customHeight="false" outlineLevel="0" collapsed="false">
      <c r="A11" s="13" t="s">
        <v>964</v>
      </c>
      <c r="B11" s="14" t="s">
        <v>157</v>
      </c>
      <c r="C11" s="14" t="s">
        <v>965</v>
      </c>
      <c r="D11" s="14" t="s">
        <v>815</v>
      </c>
      <c r="E11" s="14" t="s">
        <v>157</v>
      </c>
      <c r="F11" s="14" t="s">
        <v>92</v>
      </c>
    </row>
    <row r="12" customFormat="false" ht="15" hidden="false" customHeight="false" outlineLevel="0" collapsed="false">
      <c r="A12" s="18" t="s">
        <v>966</v>
      </c>
      <c r="B12" s="19" t="s">
        <v>157</v>
      </c>
      <c r="C12" s="19" t="s">
        <v>967</v>
      </c>
      <c r="D12" s="19" t="s">
        <v>837</v>
      </c>
      <c r="E12" s="19" t="s">
        <v>157</v>
      </c>
      <c r="F12" s="19" t="s">
        <v>92</v>
      </c>
    </row>
    <row r="13" customFormat="false" ht="23.85" hidden="false" customHeight="false" outlineLevel="0" collapsed="false">
      <c r="A13" s="13" t="s">
        <v>968</v>
      </c>
      <c r="B13" s="14" t="s">
        <v>157</v>
      </c>
      <c r="C13" s="14" t="s">
        <v>969</v>
      </c>
      <c r="D13" s="14" t="s">
        <v>970</v>
      </c>
      <c r="E13" s="14" t="s">
        <v>217</v>
      </c>
      <c r="F13" s="14" t="s">
        <v>945</v>
      </c>
    </row>
    <row r="14" customFormat="false" ht="15" hidden="false" customHeight="false" outlineLevel="0" collapsed="false">
      <c r="A14" s="18" t="s">
        <v>971</v>
      </c>
      <c r="B14" s="19" t="s">
        <v>157</v>
      </c>
      <c r="C14" s="19" t="s">
        <v>972</v>
      </c>
      <c r="D14" s="19" t="s">
        <v>973</v>
      </c>
      <c r="E14" s="19" t="s">
        <v>217</v>
      </c>
      <c r="F14" s="19" t="s">
        <v>974</v>
      </c>
    </row>
    <row r="15" customFormat="false" ht="23.85" hidden="false" customHeight="false" outlineLevel="0" collapsed="false">
      <c r="A15" s="13" t="s">
        <v>975</v>
      </c>
      <c r="B15" s="14" t="s">
        <v>157</v>
      </c>
      <c r="C15" s="14" t="s">
        <v>976</v>
      </c>
      <c r="D15" s="14" t="s">
        <v>977</v>
      </c>
      <c r="E15" s="14" t="s">
        <v>217</v>
      </c>
      <c r="F15" s="14" t="s">
        <v>974</v>
      </c>
    </row>
    <row r="16" customFormat="false" ht="23.85" hidden="false" customHeight="false" outlineLevel="0" collapsed="false">
      <c r="A16" s="18" t="s">
        <v>978</v>
      </c>
      <c r="B16" s="19" t="s">
        <v>157</v>
      </c>
      <c r="C16" s="19" t="s">
        <v>979</v>
      </c>
      <c r="D16" s="19" t="s">
        <v>803</v>
      </c>
      <c r="E16" s="19" t="s">
        <v>217</v>
      </c>
      <c r="F16" s="19" t="s">
        <v>945</v>
      </c>
    </row>
    <row r="17" customFormat="false" ht="15" hidden="false" customHeight="false" outlineLevel="0" collapsed="false">
      <c r="A17" s="13" t="s">
        <v>980</v>
      </c>
      <c r="B17" s="14" t="s">
        <v>157</v>
      </c>
      <c r="C17" s="14" t="s">
        <v>533</v>
      </c>
      <c r="D17" s="14" t="s">
        <v>973</v>
      </c>
      <c r="E17" s="14" t="s">
        <v>217</v>
      </c>
      <c r="F17" s="14" t="s">
        <v>974</v>
      </c>
    </row>
    <row r="18" customFormat="false" ht="15" hidden="false" customHeight="false" outlineLevel="0" collapsed="false">
      <c r="A18" s="18" t="s">
        <v>981</v>
      </c>
      <c r="B18" s="19" t="s">
        <v>217</v>
      </c>
      <c r="C18" s="19" t="s">
        <v>982</v>
      </c>
      <c r="D18" s="19" t="s">
        <v>983</v>
      </c>
      <c r="E18" s="19" t="s">
        <v>217</v>
      </c>
      <c r="F18" s="19" t="s">
        <v>974</v>
      </c>
    </row>
    <row r="19" customFormat="false" ht="15" hidden="false" customHeight="false" outlineLevel="0" collapsed="false">
      <c r="A19" s="13" t="s">
        <v>984</v>
      </c>
      <c r="B19" s="14" t="s">
        <v>217</v>
      </c>
      <c r="C19" s="14" t="s">
        <v>539</v>
      </c>
      <c r="D19" s="14" t="s">
        <v>973</v>
      </c>
      <c r="E19" s="14" t="s">
        <v>217</v>
      </c>
      <c r="F19" s="14" t="s">
        <v>974</v>
      </c>
    </row>
    <row r="20" customFormat="false" ht="15" hidden="false" customHeight="false" outlineLevel="0" collapsed="false">
      <c r="A20" s="18" t="s">
        <v>985</v>
      </c>
      <c r="B20" s="19" t="s">
        <v>217</v>
      </c>
      <c r="C20" s="19" t="s">
        <v>986</v>
      </c>
      <c r="D20" s="19" t="s">
        <v>987</v>
      </c>
      <c r="E20" s="19" t="s">
        <v>217</v>
      </c>
      <c r="F20" s="19" t="s">
        <v>974</v>
      </c>
    </row>
    <row r="21" customFormat="false" ht="15" hidden="false" customHeight="false" outlineLevel="0" collapsed="false">
      <c r="A21" s="13" t="s">
        <v>988</v>
      </c>
      <c r="B21" s="14" t="s">
        <v>217</v>
      </c>
      <c r="C21" s="14" t="s">
        <v>989</v>
      </c>
      <c r="D21" s="14" t="s">
        <v>990</v>
      </c>
      <c r="E21" s="14" t="s">
        <v>217</v>
      </c>
      <c r="F21" s="14" t="s">
        <v>974</v>
      </c>
    </row>
    <row r="22" customFormat="false" ht="23.85" hidden="false" customHeight="false" outlineLevel="0" collapsed="false">
      <c r="A22" s="18" t="s">
        <v>991</v>
      </c>
      <c r="B22" s="19" t="s">
        <v>61</v>
      </c>
      <c r="C22" s="19" t="s">
        <v>992</v>
      </c>
      <c r="D22" s="19" t="s">
        <v>993</v>
      </c>
      <c r="E22" s="19" t="s">
        <v>157</v>
      </c>
      <c r="F22" s="19" t="s">
        <v>945</v>
      </c>
    </row>
    <row r="23" customFormat="false" ht="15" hidden="false" customHeight="false" outlineLevel="0" collapsed="false">
      <c r="A23" s="13" t="s">
        <v>994</v>
      </c>
      <c r="B23" s="14" t="s">
        <v>61</v>
      </c>
      <c r="C23" s="14" t="s">
        <v>995</v>
      </c>
      <c r="D23" s="14" t="s">
        <v>996</v>
      </c>
      <c r="E23" s="14" t="s">
        <v>61</v>
      </c>
      <c r="F23" s="14" t="s">
        <v>997</v>
      </c>
    </row>
  </sheetData>
  <autoFilter ref="A2:F23"/>
  <mergeCells count="1">
    <mergeCell ref="A1:F1"/>
  </mergeCells>
  <conditionalFormatting sqref="B3:B23">
    <cfRule type="cellIs" priority="2" operator="equal" aboveAverage="0" equalAverage="0" bottom="0" percent="0" rank="0" text="" dxfId="10">
      <formula>"Crítica"</formula>
    </cfRule>
    <cfRule type="cellIs" priority="3" operator="equal" aboveAverage="0" equalAverage="0" bottom="0" percent="0" rank="0" text="" dxfId="11">
      <formula>"Alta"</formula>
    </cfRule>
    <cfRule type="cellIs" priority="4" operator="equal" aboveAverage="0" equalAverage="0" bottom="0" percent="0" rank="0" text="" dxfId="12">
      <formula>"Media"</formula>
    </cfRule>
    <cfRule type="cellIs" priority="5" operator="equal" aboveAverage="0" equalAverage="0" bottom="0" percent="0" rank="0" text="" dxfId="13">
      <formula>"Baja"</formula>
    </cfRule>
  </conditionalFormatting>
  <conditionalFormatting sqref="E3:E23">
    <cfRule type="cellIs" priority="6" operator="equal" aboveAverage="0" equalAverage="0" bottom="0" percent="0" rank="0" text="" dxfId="10">
      <formula>"Crítica"</formula>
    </cfRule>
    <cfRule type="cellIs" priority="7" operator="equal" aboveAverage="0" equalAverage="0" bottom="0" percent="0" rank="0" text="" dxfId="11">
      <formula>"Alta"</formula>
    </cfRule>
    <cfRule type="cellIs" priority="8" operator="equal" aboveAverage="0" equalAverage="0" bottom="0" percent="0" rank="0" text="" dxfId="12">
      <formula>"Media"</formula>
    </cfRule>
    <cfRule type="cellIs" priority="9" operator="equal" aboveAverage="0" equalAverage="0" bottom="0" percent="0" rank="0" text="" dxfId="13">
      <formula>"Baja"</formula>
    </cfRule>
  </conditionalFormatting>
  <conditionalFormatting sqref="F3:F23">
    <cfRule type="cellIs" priority="10" operator="equal" aboveAverage="0" equalAverage="0" bottom="0" percent="0" rank="0" text="" dxfId="13">
      <formula>"Resuelto en la propuesta"</formula>
    </cfRule>
    <cfRule type="cellIs" priority="11" operator="equal" aboveAverage="0" equalAverage="0" bottom="0" percent="0" rank="0" text="" dxfId="11">
      <formula>"Condicionado a validación"</formula>
    </cfRule>
    <cfRule type="cellIs" priority="12" operator="equal" aboveAverage="0" equalAverage="0" bottom="0" percent="0" rank="0" text="" dxfId="12">
      <formula>"Pendiente de decisión"</formula>
    </cfRule>
    <cfRule type="cellIs" priority="13" operator="equal" aboveAverage="0" equalAverage="0" bottom="0" percent="0" rank="0" text="" dxfId="10">
      <formula>"No resuelto"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2026-10-22T19:40:38Z</dcterms:created>
  <dc:creator>openpyxl</dc:creator>
  <dc:description/>
  <dc:language>en-US</dc:language>
  <cp:lastModifiedBy/>
  <dcterms:modified xsi:type="dcterms:W3CDTF">2026-10-22T19:40:39Z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